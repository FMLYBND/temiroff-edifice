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райс" sheetId="2" state="visible" r:id="rId4"/>
    <sheet name="Салон" sheetId="3" state="visible" r:id="rId5"/>
    <sheet name="Проверка РП салона" sheetId="4" state="visible" r:id="rId6"/>
    <sheet name="Фитнес" sheetId="5" state="visible" r:id="rId7"/>
    <sheet name="Офис" sheetId="6" state="visible" r:id="rId8"/>
    <sheet name="Терраса" sheetId="7" state="visible" r:id="rId9"/>
    <sheet name="Что дослать" sheetId="8" state="visible" r:id="rId10"/>
  </sheets>
  <definedNames>
    <definedName function="false" hidden="true" localSheetId="5" name="_xlnm._FilterDatabase" vbProcedure="false">Офис!$A$4:$L$36</definedName>
    <definedName function="false" hidden="true" localSheetId="2" name="_xlnm._FilterDatabase" vbProcedure="false">Салон!$A$4:$L$102</definedName>
    <definedName function="false" hidden="true" localSheetId="6" name="_xlnm._FilterDatabase" vbProcedure="false">Терраса!$A$4:$L$33</definedName>
    <definedName function="false" hidden="true" localSheetId="4" name="_xlnm._FilterDatabase" vbProcedure="false">Фитнес!$A$4:$L$42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<sst xmlns="http://schemas.openxmlformats.org/spreadsheetml/2006/main" count="2170" uniqueCount="868">
  <si>
    <t xml:space="preserve">Бизнес-центр, Навои — предварительные цены по этажам, сум</t>
  </si>
  <si>
    <t xml:space="preserve">Собрано 07.09.2026, ревизия 08.09.2026 (салон сверен с РП постранично, электрика переоценена, добавлены ориентиры на мебель/флорариумы/двери). Салон — по ведомости РП. Фитнес — свет/сантехника/отделка по РП, электрика — аналог салона. Офис и терраса — остекление по КП Imzo (вариант 2), тёплый пол, остальное — аналог салона по площади (оранжевое). Все «аналоги» заменить на данные РП.</t>
  </si>
  <si>
    <t xml:space="preserve">Раздел</t>
  </si>
  <si>
    <t xml:space="preserve">Салон (2 эт.)</t>
  </si>
  <si>
    <t xml:space="preserve">Фитнес (-1 эт.)</t>
  </si>
  <si>
    <t xml:space="preserve">Офис (3 эт.)</t>
  </si>
  <si>
    <t xml:space="preserve">Терраса</t>
  </si>
  <si>
    <t xml:space="preserve">ИТОГО</t>
  </si>
  <si>
    <t xml:space="preserve">Сантехника</t>
  </si>
  <si>
    <t xml:space="preserve">Освещение</t>
  </si>
  <si>
    <t xml:space="preserve">LED-подсветка</t>
  </si>
  <si>
    <t xml:space="preserve">Электрика</t>
  </si>
  <si>
    <t xml:space="preserve">Тёплый пол</t>
  </si>
  <si>
    <t xml:space="preserve">Полы</t>
  </si>
  <si>
    <t xml:space="preserve">Стены / потолок</t>
  </si>
  <si>
    <t xml:space="preserve">Бамбуковые панели</t>
  </si>
  <si>
    <t xml:space="preserve">Остекление</t>
  </si>
  <si>
    <t xml:space="preserve">Мебель корпусная</t>
  </si>
  <si>
    <t xml:space="preserve">Мебель мягкая</t>
  </si>
  <si>
    <t xml:space="preserve">Мебель отдельно стоящая</t>
  </si>
  <si>
    <t xml:space="preserve">Мебель</t>
  </si>
  <si>
    <t xml:space="preserve">Флорариумы</t>
  </si>
  <si>
    <t xml:space="preserve">Перегородки</t>
  </si>
  <si>
    <t xml:space="preserve">Стены / ГКЛ</t>
  </si>
  <si>
    <t xml:space="preserve">Двери</t>
  </si>
  <si>
    <t xml:space="preserve">ИТОГО (известное)</t>
  </si>
  <si>
    <t xml:space="preserve">Полнота данных</t>
  </si>
  <si>
    <t xml:space="preserve">Салон</t>
  </si>
  <si>
    <t xml:space="preserve">Фитнес</t>
  </si>
  <si>
    <t xml:space="preserve">Офис</t>
  </si>
  <si>
    <t xml:space="preserve">Строк с «?» (кол-во неизвестно)</t>
  </si>
  <si>
    <t xml:space="preserve">Строк без цены</t>
  </si>
  <si>
    <t xml:space="preserve">Строк с предположенным кол-вом</t>
  </si>
  <si>
    <t xml:space="preserve">Как читать</t>
  </si>
  <si>
    <t xml:space="preserve">ИТОГО — только строки, где есть и количество, и цена. «?» и строки без цены в сумму не входят. Строки без цены остались только там, где цена принципиально не оценивается (ГКЛ-перегородки салона — по актам бригад; НП-1 фитнеса; покрытие офиса).</t>
  </si>
  <si>
    <t xml:space="preserve">Цены</t>
  </si>
  <si>
    <t xml:space="preserve">Один прайс на все этажи (лист «Прайс»). Поменял цену там — пересчиталось везде. Факт (магазин/КП) перекрывает ориентир.</t>
  </si>
  <si>
    <t xml:space="preserve">Уровень цен</t>
  </si>
  <si>
    <t xml:space="preserve">Ориентир — «средний–премиум» по рынку Узбекистана. Электрика с 08.09 — уровень AtlasDesign (чёрный), премиум-серии ×2. Мебель/флорариумы/декор/двери — оценки ±30 %, заменить на КП.</t>
  </si>
  <si>
    <t xml:space="preserve">Выбран вариант 2 Imzo: терраса 128 + офис 40,5 + фасад 156 = 324,5 млн. Фасад — по зданию, условно отнесён к террасе. Внутреннее остекление салона (5,9 м²) — предположение по развёрткам.</t>
  </si>
  <si>
    <t xml:space="preserve">Аналог салона</t>
  </si>
  <si>
    <t xml:space="preserve">Оранжевые строки на фитнесе/офисе/террасе — количества салона × (площадь этажа / 200 м²). Заглушка для порядка цифр, не спецификация. Внимание: электрика салона теперь без «столовых» 32→16 розеток и по новым ценам — аналоги пересчитались автоматически.</t>
  </si>
  <si>
    <t xml:space="preserve">Единый прайс — цены за единицу, сум</t>
  </si>
  <si>
    <t xml:space="preserve">Синие ячейки — вводные. «Расчётная» = факт, если есть, иначе ориентир. Все этажи берут цену отсюда по коду. Ориентир — уровень «средний–премиум», оценка на 07.09.2026. 08.09.2026: электрика пересчитана на уровень AtlasDesign (чёрный); добавлены ориентиры на мебель, флорариумы, декор, ГКЛ-элементы, двери (группы МБ-, ФЛ-, ДЕК-, ГКЛ-, ДВ-, ОСТ-) — это оценки ±30 %, не КП.</t>
  </si>
  <si>
    <t xml:space="preserve">Код</t>
  </si>
  <si>
    <t xml:space="preserve">Группа</t>
  </si>
  <si>
    <t xml:space="preserve">Наименование</t>
  </si>
  <si>
    <t xml:space="preserve">Ед.</t>
  </si>
  <si>
    <t xml:space="preserve">Ориентир (средний–премиум)</t>
  </si>
  <si>
    <t xml:space="preserve">Факт (магазин / КП)</t>
  </si>
  <si>
    <t xml:space="preserve">Расчётная</t>
  </si>
  <si>
    <t xml:space="preserve">Источник / примечание</t>
  </si>
  <si>
    <t xml:space="preserve">СН-СМ-КУХ</t>
  </si>
  <si>
    <t xml:space="preserve">Смеситель кухонный</t>
  </si>
  <si>
    <t xml:space="preserve">шт</t>
  </si>
  <si>
    <t xml:space="preserve">оценка, уровень Lemark/Gappo/Frap-premium</t>
  </si>
  <si>
    <t xml:space="preserve">СН-СМ-НАКЛ</t>
  </si>
  <si>
    <t xml:space="preserve">Смеситель для накладной раковины</t>
  </si>
  <si>
    <t xml:space="preserve">оценка</t>
  </si>
  <si>
    <t xml:space="preserve">СН-СМ-ДУШ</t>
  </si>
  <si>
    <t xml:space="preserve">Смеситель душевой / душевая стойка</t>
  </si>
  <si>
    <t xml:space="preserve">СН-РАК-КУХ-Б</t>
  </si>
  <si>
    <t xml:space="preserve">Мойка кухонная 800×500 под столешницу</t>
  </si>
  <si>
    <t xml:space="preserve">СН-РАК-КУХ-М</t>
  </si>
  <si>
    <t xml:space="preserve">Мойка кухонная 450×450 под столешницу</t>
  </si>
  <si>
    <t xml:space="preserve">СН-РАК-600</t>
  </si>
  <si>
    <t xml:space="preserve">Раковина накладная 600×400</t>
  </si>
  <si>
    <t xml:space="preserve">СН-РАК-500</t>
  </si>
  <si>
    <t xml:space="preserve">Раковина накладная 500×450</t>
  </si>
  <si>
    <t xml:space="preserve">СН-РАК-350</t>
  </si>
  <si>
    <t xml:space="preserve">Раковина встраиваемая 350×300</t>
  </si>
  <si>
    <t xml:space="preserve">СН-ГИГДУШ</t>
  </si>
  <si>
    <t xml:space="preserve">Гигиенический душ</t>
  </si>
  <si>
    <t xml:space="preserve">СН-УНИТ</t>
  </si>
  <si>
    <t xml:space="preserve">Унитаз подвесной</t>
  </si>
  <si>
    <t xml:space="preserve">СН-ИНСТ</t>
  </si>
  <si>
    <t xml:space="preserve">Инсталляция для унитаза</t>
  </si>
  <si>
    <t xml:space="preserve">оценка (Geberit Duofix 3–4 млн, Alcaplast ~1,8 млн)</t>
  </si>
  <si>
    <t xml:space="preserve">СН-КНОП</t>
  </si>
  <si>
    <t xml:space="preserve">Кнопка слива</t>
  </si>
  <si>
    <t xml:space="preserve">СН-ДУШКАБ</t>
  </si>
  <si>
    <t xml:space="preserve">Душевое ограждение / кабина</t>
  </si>
  <si>
    <t xml:space="preserve">оценка, стекло 8 мм</t>
  </si>
  <si>
    <t xml:space="preserve">СН-ТРАП</t>
  </si>
  <si>
    <t xml:space="preserve">Трап душевой линейный</t>
  </si>
  <si>
    <t xml:space="preserve">СН-ЗЕРК</t>
  </si>
  <si>
    <t xml:space="preserve">Зеркало в С/У</t>
  </si>
  <si>
    <t xml:space="preserve">СН-НАСОС</t>
  </si>
  <si>
    <t xml:space="preserve">Канализационный насос (тип Sololift)</t>
  </si>
  <si>
    <t xml:space="preserve">оценка, опция для подвала</t>
  </si>
  <si>
    <t xml:space="preserve">ОС-СПОТ-МАГ</t>
  </si>
  <si>
    <t xml:space="preserve">Спот магнитный поворотный 24 Вт</t>
  </si>
  <si>
    <t xml:space="preserve">факт — прайс магазина 02.09.2026 (нижний тир, CRI проверить!)</t>
  </si>
  <si>
    <t xml:space="preserve">ОС-СПОТ-МАГ18</t>
  </si>
  <si>
    <t xml:space="preserve">Спот магнитный 18 Вт</t>
  </si>
  <si>
    <t xml:space="preserve">факт — прайс магазина</t>
  </si>
  <si>
    <t xml:space="preserve">ОС-РЕЛЬС-3</t>
  </si>
  <si>
    <t xml:space="preserve">Рельс магнитный 3 м</t>
  </si>
  <si>
    <t xml:space="preserve">ОС-РЕЛЬС-2</t>
  </si>
  <si>
    <t xml:space="preserve">Рельс магнитный 2 м</t>
  </si>
  <si>
    <t xml:space="preserve">ОС-РЕЛЬС-М</t>
  </si>
  <si>
    <t xml:space="preserve">Рельс магнитный, за 1 п.м.</t>
  </si>
  <si>
    <t xml:space="preserve">п.м.</t>
  </si>
  <si>
    <t xml:space="preserve">факт — 250 000/3 м по прайсу магазина</t>
  </si>
  <si>
    <t xml:space="preserve">ОС-ТРОС</t>
  </si>
  <si>
    <t xml:space="preserve">Трос подвеса рельса</t>
  </si>
  <si>
    <t xml:space="preserve">ОС-БП-400</t>
  </si>
  <si>
    <t xml:space="preserve">Блок питания 48V 400 Вт</t>
  </si>
  <si>
    <t xml:space="preserve">ОС-БП-200</t>
  </si>
  <si>
    <t xml:space="preserve">Блок питания 48V 200 Вт</t>
  </si>
  <si>
    <t xml:space="preserve">ОС-БП-100</t>
  </si>
  <si>
    <t xml:space="preserve">Блок питания 48V 100 Вт</t>
  </si>
  <si>
    <t xml:space="preserve">ОС-СОЕД</t>
  </si>
  <si>
    <t xml:space="preserve">Соединитель рельсов</t>
  </si>
  <si>
    <t xml:space="preserve">ОС-СОЕД-МЕТ</t>
  </si>
  <si>
    <t xml:space="preserve">Соединитель рельсов металлический</t>
  </si>
  <si>
    <t xml:space="preserve">ОС-ТОЧ</t>
  </si>
  <si>
    <t xml:space="preserve">Светильник накладной точечный 18 Вт</t>
  </si>
  <si>
    <t xml:space="preserve">ОС-БРА-90</t>
  </si>
  <si>
    <t xml:space="preserve">Бра линейное 900 мм</t>
  </si>
  <si>
    <t xml:space="preserve">ОС-ПОДВ</t>
  </si>
  <si>
    <t xml:space="preserve">Подвесной светильник декоративный</t>
  </si>
  <si>
    <t xml:space="preserve">ОС-НАСТ</t>
  </si>
  <si>
    <t xml:space="preserve">Настенный светильник</t>
  </si>
  <si>
    <t xml:space="preserve">ОС-ЛДСП</t>
  </si>
  <si>
    <t xml:space="preserve">Подвесная конструкция ЛДСП с подсветкой 2000×1450</t>
  </si>
  <si>
    <t xml:space="preserve">оценка изготовления, уточнить у мебельщика</t>
  </si>
  <si>
    <t xml:space="preserve">LED-ПЛИНТ</t>
  </si>
  <si>
    <t xml:space="preserve">Теневой плинтус с LED, за 1 п.м.</t>
  </si>
  <si>
    <t xml:space="preserve">оценка (профиль + лента + рассеиватель)</t>
  </si>
  <si>
    <t xml:space="preserve">LED-ЛЕНТА</t>
  </si>
  <si>
    <t xml:space="preserve">LED-лента 24V в профиле, за 1 п.м.</t>
  </si>
  <si>
    <t xml:space="preserve">LED-БП</t>
  </si>
  <si>
    <t xml:space="preserve">Блок питания / драйвер LED</t>
  </si>
  <si>
    <t xml:space="preserve">ЭЛ-ВЫК1</t>
  </si>
  <si>
    <t xml:space="preserve">Выключатель 1-кл (чёрный)</t>
  </si>
  <si>
    <t xml:space="preserve">ориентир по Systeme/Schneider AtlasDesign «карбон»; ikarvon.uz 08.09.2026: розетка с/з алюминий 44 200. Премиум (Legrand Inspiria / Unica) — ×2</t>
  </si>
  <si>
    <t xml:space="preserve">ЭЛ-ВЫК2</t>
  </si>
  <si>
    <t xml:space="preserve">Выключатель 2-кл (чёрный)</t>
  </si>
  <si>
    <t xml:space="preserve">ориентир AtlasDesign «карбон»; премиум ×2</t>
  </si>
  <si>
    <t xml:space="preserve">ЭЛ-РОЗ</t>
  </si>
  <si>
    <t xml:space="preserve">Розетка с заземлением (чёрная)</t>
  </si>
  <si>
    <t xml:space="preserve">ориентир AtlasDesign «карбон» (механизм); ikarvon.uz 08.09.2026: алюминий 44 200. Премиум ×2</t>
  </si>
  <si>
    <t xml:space="preserve">ЭЛ-РАМ1</t>
  </si>
  <si>
    <t xml:space="preserve">Рамка 1-пост</t>
  </si>
  <si>
    <t xml:space="preserve">ориентир AtlasDesign; премиум ×2</t>
  </si>
  <si>
    <t xml:space="preserve">ЭЛ-РАМ2</t>
  </si>
  <si>
    <t xml:space="preserve">Рамка 2-пост</t>
  </si>
  <si>
    <t xml:space="preserve">ЭЛ-РАМ3</t>
  </si>
  <si>
    <t xml:space="preserve">Рамка 3-пост</t>
  </si>
  <si>
    <t xml:space="preserve">ЭЛ-РАМ4</t>
  </si>
  <si>
    <t xml:space="preserve">Рамка 4-пост</t>
  </si>
  <si>
    <t xml:space="preserve">ЭЛ-РАМ5</t>
  </si>
  <si>
    <t xml:space="preserve">Рамка 5-пост</t>
  </si>
  <si>
    <t xml:space="preserve">ЭЛ-ПОЛБЛОК</t>
  </si>
  <si>
    <t xml:space="preserve">Внутрипольный блок 4 розетки</t>
  </si>
  <si>
    <t xml:space="preserve">ЭЛ-UTP</t>
  </si>
  <si>
    <t xml:space="preserve">Вывод UTP (розетка RJ45 + монтаж. коробка)</t>
  </si>
  <si>
    <t xml:space="preserve">оценка, без кабеля</t>
  </si>
  <si>
    <t xml:space="preserve">ЭЛ-ТВ</t>
  </si>
  <si>
    <t xml:space="preserve">Вывод ТВ (питание + HDMI + UTP)</t>
  </si>
  <si>
    <t xml:space="preserve">ЭЛ-ВЫВОД</t>
  </si>
  <si>
    <t xml:space="preserve">Вывод питания (лампа / оборудование)</t>
  </si>
  <si>
    <t xml:space="preserve">ЭЛ-ТЕРМ</t>
  </si>
  <si>
    <t xml:space="preserve">Терморегулятор тёплого пола</t>
  </si>
  <si>
    <t xml:space="preserve">оценка, программируемый</t>
  </si>
  <si>
    <t xml:space="preserve">ТП-МАТ</t>
  </si>
  <si>
    <t xml:space="preserve">Нагревательный мат IQ FLOOR MAT 150 Вт/м², за 1 м²</t>
  </si>
  <si>
    <t xml:space="preserve">м²</t>
  </si>
  <si>
    <t xml:space="preserve">факт — stab.uz: 8 381 400 за секцию 20 м²</t>
  </si>
  <si>
    <t xml:space="preserve">ПЛ-КАФ1200</t>
  </si>
  <si>
    <t xml:space="preserve">Кафель 1200×1200, за 1 шт (1,44 м²)</t>
  </si>
  <si>
    <t xml:space="preserve">факт — озвучено</t>
  </si>
  <si>
    <t xml:space="preserve">ПЛ-КГ1200x600</t>
  </si>
  <si>
    <t xml:space="preserve">Керамогранит 1200×600, за 1 м²</t>
  </si>
  <si>
    <t xml:space="preserve">ПЛ-КГ600</t>
  </si>
  <si>
    <t xml:space="preserve">Керамогранит 600×600, за 1 м²</t>
  </si>
  <si>
    <t xml:space="preserve">ПЛ-РЕЗИНА</t>
  </si>
  <si>
    <t xml:space="preserve">Резиновое покрытие 8–10 мм, за 1 м²</t>
  </si>
  <si>
    <t xml:space="preserve">СТ-КРАСКА-ПОТ</t>
  </si>
  <si>
    <t xml:space="preserve">Краска потолочная, за 1 м² (с запасом)</t>
  </si>
  <si>
    <t xml:space="preserve">из ведомости салона</t>
  </si>
  <si>
    <t xml:space="preserve">СТ-КРАСКА-СТ</t>
  </si>
  <si>
    <t xml:space="preserve">Краска для стен, за 1 м² (с запасом)</t>
  </si>
  <si>
    <t xml:space="preserve">СТ-ПЛИТКА</t>
  </si>
  <si>
    <t xml:space="preserve">Плитка настенная, за 1 м²</t>
  </si>
  <si>
    <t xml:space="preserve">СТ-ЗЕРКАЛО</t>
  </si>
  <si>
    <t xml:space="preserve">Зеркало настенное листовое, за 1 м²</t>
  </si>
  <si>
    <t xml:space="preserve">оценка, без монтажа</t>
  </si>
  <si>
    <t xml:space="preserve">СТ-СЕТКА</t>
  </si>
  <si>
    <t xml:space="preserve">Сетка декоративная (по РП От-), за 1 м²</t>
  </si>
  <si>
    <t xml:space="preserve">грубая оценка — уточнить, что за сетка</t>
  </si>
  <si>
    <t xml:space="preserve">БАМ-ПАН</t>
  </si>
  <si>
    <t xml:space="preserve">Бамбуковая панель 1220×3000</t>
  </si>
  <si>
    <t xml:space="preserve">лист</t>
  </si>
  <si>
    <t xml:space="preserve">БАМ-ПРОФ</t>
  </si>
  <si>
    <t xml:space="preserve">Профиль к бамбуковым панелям 3000 мм</t>
  </si>
  <si>
    <t xml:space="preserve">МБ-СТОЙКА</t>
  </si>
  <si>
    <t xml:space="preserve">Стойка ресепшен радиусная 3660×820 (ЛДСП/шпон + столешница)</t>
  </si>
  <si>
    <t xml:space="preserve">ориентир изготовления ±30 %, запросить КП мебельщика</t>
  </si>
  <si>
    <t xml:space="preserve">МБ-ШКАФ-ПМ</t>
  </si>
  <si>
    <t xml:space="preserve">Шкаф корпусный ЛДСП h≈2400, за 1 п.м.</t>
  </si>
  <si>
    <t xml:space="preserve">ориентир ±30 %; ЛДСП Egger/Kastamonu, фурнитура Blum/Hettich-класс</t>
  </si>
  <si>
    <t xml:space="preserve">МБ-КУХ-ПМ</t>
  </si>
  <si>
    <t xml:space="preserve">Кухонный гарнитур (низ + столешница ЛДСП), за 1 п.м.</t>
  </si>
  <si>
    <t xml:space="preserve">ориентир ±30 %; столешница из искусственного камня +≈2 млн/п.м.</t>
  </si>
  <si>
    <t xml:space="preserve">МБ-ПОЛКА-ПМ</t>
  </si>
  <si>
    <t xml:space="preserve">Открытые полки / стеллаж h≈2400, за 1 п.м.</t>
  </si>
  <si>
    <t xml:space="preserve">ориентир ±30 %</t>
  </si>
  <si>
    <t xml:space="preserve">МБ-ТУМБА</t>
  </si>
  <si>
    <t xml:space="preserve">Тумба под раковину 1240 подвесная</t>
  </si>
  <si>
    <t xml:space="preserve">МБ-СТОЛ-МАН</t>
  </si>
  <si>
    <t xml:space="preserve">Маникюрный стол 2200×600 (2 рабочих места, розетки в столе)</t>
  </si>
  <si>
    <t xml:space="preserve">ориентир ±30 %; без маникюрных ламп и вытяжек</t>
  </si>
  <si>
    <t xml:space="preserve">МБ-СТОЛ-ОБЕД</t>
  </si>
  <si>
    <t xml:space="preserve">Обеденный стол / барная стойка 3140×600</t>
  </si>
  <si>
    <t xml:space="preserve">МБ-ДИВАН</t>
  </si>
  <si>
    <t xml:space="preserve">Диван 2600×1000 (ткань, по эскизу)</t>
  </si>
  <si>
    <t xml:space="preserve">МБ-ДИВАН-ДИЗ</t>
  </si>
  <si>
    <t xml:space="preserve">Диван дизайнерский (розовый, по визуализации)</t>
  </si>
  <si>
    <t xml:space="preserve">ориентир ±40 %, зависит от модели</t>
  </si>
  <si>
    <t xml:space="preserve">МБ-СТУЛ-КУХ</t>
  </si>
  <si>
    <t xml:space="preserve">Кухонный стул</t>
  </si>
  <si>
    <t xml:space="preserve">ориентир</t>
  </si>
  <si>
    <t xml:space="preserve">МБ-ЖУРН</t>
  </si>
  <si>
    <t xml:space="preserve">Журнальный стол круглый</t>
  </si>
  <si>
    <t xml:space="preserve">МБ-КРЕСЛО-РЕЦ</t>
  </si>
  <si>
    <t xml:space="preserve">Кресло офисное в ресепшен</t>
  </si>
  <si>
    <t xml:space="preserve">МБ-СТУЛ-МАСТ</t>
  </si>
  <si>
    <t xml:space="preserve">Стул мастера маникюра (на колёсах)</t>
  </si>
  <si>
    <t xml:space="preserve">МБ-КРЕСЛО-КЛ</t>
  </si>
  <si>
    <t xml:space="preserve">Кресло клиента маникюрное</t>
  </si>
  <si>
    <t xml:space="preserve">МБ-ПУФ</t>
  </si>
  <si>
    <t xml:space="preserve">Пуф 450×450</t>
  </si>
  <si>
    <t xml:space="preserve">МБ-КРЕСЛО-ТОП</t>
  </si>
  <si>
    <t xml:space="preserve">Кресло-реклайнер в кабинете топ-мастера 1000×1500</t>
  </si>
  <si>
    <t xml:space="preserve">МБ-КРЕСЛО-ПЕД</t>
  </si>
  <si>
    <t xml:space="preserve">Педикюрное кресло SPA электрическое с ванночкой</t>
  </si>
  <si>
    <t xml:space="preserve">ориентир: импорт 1 500–3 000 $ — самая дорогая позиция мебели, уточнить модель</t>
  </si>
  <si>
    <t xml:space="preserve">ФЛ-М2</t>
  </si>
  <si>
    <t xml:space="preserve">Флорариум (стабилизированный мох + растения, короб, LED), за 1 м²</t>
  </si>
  <si>
    <t xml:space="preserve">ориентир: в РФ фитостены из мха 18–35 тыс ₽/м² (letostudia.ru) ≈ 2,5–5 млн сум; с коробом и подсветкой — 4 млн</t>
  </si>
  <si>
    <t xml:space="preserve">ДЕК-РЕЙКА</t>
  </si>
  <si>
    <t xml:space="preserve">Рейка ЛДСП 40×80 до 3000 мм, с монтажом</t>
  </si>
  <si>
    <t xml:space="preserve">ДЕК-ЛИСТ</t>
  </si>
  <si>
    <t xml:space="preserve">Декоративная перегородка «лист» 580×2390, лазерная резка металл 2–3 мм + окраска</t>
  </si>
  <si>
    <t xml:space="preserve">ориентир; материал в РП не указан</t>
  </si>
  <si>
    <t xml:space="preserve">ДЕК-БАРЕЛЬЕФ</t>
  </si>
  <si>
    <t xml:space="preserve">Барельеф из гипса, за 1 м²</t>
  </si>
  <si>
    <t xml:space="preserve">ориентир изготовления по эскизу л.22</t>
  </si>
  <si>
    <t xml:space="preserve">ДЕК-ФРЕСКА</t>
  </si>
  <si>
    <t xml:space="preserve">Фреска / фотообои в арочной нише, за 1 м²</t>
  </si>
  <si>
    <t xml:space="preserve">ориентир; в спецификации РП отсутствует, видно на развёртках л.26, 31</t>
  </si>
  <si>
    <t xml:space="preserve">ГКЛ-ПОДДОН</t>
  </si>
  <si>
    <t xml:space="preserve">ГКЛ-поддон 2100×900 h=250 с усиленным металлокаркасом и нишей под раковину</t>
  </si>
  <si>
    <t xml:space="preserve">ориентир (материал + работа)</t>
  </si>
  <si>
    <t xml:space="preserve">ГКЛ-ПОДИУМ</t>
  </si>
  <si>
    <t xml:space="preserve">Круглый подиум R350 h=100 под педикюрное кресло</t>
  </si>
  <si>
    <t xml:space="preserve">ГКЛ-ИНСТ</t>
  </si>
  <si>
    <t xml:space="preserve">Короб инсталляции, ГКЛ 2 слоя, h=1200</t>
  </si>
  <si>
    <t xml:space="preserve">ГКЛ-ПЕРЕГ</t>
  </si>
  <si>
    <t xml:space="preserve">Перегородка ГКЛ на металлокаркасе, 2 слоя с двух сторон, за 1 м² (материал + работа)</t>
  </si>
  <si>
    <t xml:space="preserve">справочно — в салоне перегородки уже смонтированы бригадами, брать из актов</t>
  </si>
  <si>
    <t xml:space="preserve">ДВ-СКРЫТ</t>
  </si>
  <si>
    <t xml:space="preserve">Дверь скрытого монтажа 2200×800–900 с алюминиевым коробом и фурнитурой</t>
  </si>
  <si>
    <t xml:space="preserve">ориентир ±30 %; спецификации дверей в РП нет</t>
  </si>
  <si>
    <t xml:space="preserve">ОСТ-ВНУТР</t>
  </si>
  <si>
    <t xml:space="preserve">Внутреннее остекление: закалённое стекло 10 мм в профиле, за 1 м²</t>
  </si>
  <si>
    <t xml:space="preserve">ориентир; внутренние окна/перегородки в РП не специфицированы</t>
  </si>
  <si>
    <t xml:space="preserve">ДВ-СТЕКЛО</t>
  </si>
  <si>
    <t xml:space="preserve">Дверь стеклянная распашная 800–900×2200, закалённое 10 мм, фурнитура + доводчик</t>
  </si>
  <si>
    <t xml:space="preserve">ориентир ±30 %; сверить с КП Imzo (офис: 5 дверей входят в 40,5 млн)</t>
  </si>
  <si>
    <t xml:space="preserve">МБ-СТОЛ-МАН-К</t>
  </si>
  <si>
    <t xml:space="preserve">Маникюрный стол 1000–1400×500×750 со встроенным пылесосом (кабинет)</t>
  </si>
  <si>
    <t xml:space="preserve">МБ-СТОЛИК</t>
  </si>
  <si>
    <t xml:space="preserve">Столик приставной для маникюра в педикюрной зоне</t>
  </si>
  <si>
    <t xml:space="preserve">МБ-КОМОД</t>
  </si>
  <si>
    <t xml:space="preserve">Комод небольшой ЛДСП под ключ</t>
  </si>
  <si>
    <t xml:space="preserve">ДЕК-ЗЕРКАЛО</t>
  </si>
  <si>
    <t xml:space="preserve">Зеркало с LED-подсветкой и надписью 2000×800</t>
  </si>
  <si>
    <t xml:space="preserve">ориентир (зеркало + LED + фрезеровка надписи)</t>
  </si>
  <si>
    <t xml:space="preserve">ДЕК-ЗЕРКАЛО-СУ</t>
  </si>
  <si>
    <t xml:space="preserve">Зеркало с LED-подсветкой в С/У ~1200×800</t>
  </si>
  <si>
    <t xml:space="preserve">Салон — 2 этаж (200 м², РП INSIDROOM, 41 л.)</t>
  </si>
  <si>
    <t xml:space="preserve">Кол-во и «Цена ручн.» — синие вводные. Цена берётся из листа «Прайс» по коду, ручная цена перекрывает прайс. Жёлтые «?» — данных нет, сумма по строке = 0 до заполнения. Оранжевые — количество предположено, проверить по РП. Ревизия 08.09.2026: сверено с РП INSIDROOM (40 л.) — исправлены столы М11 (1→6), розетки в столах (32→16), поддоны (1→2), рейки (27→54), размеры/привязки флорариумов, барельеф (пом. 5), добавлены подиумы, фрески, внутреннее остекление, запас кафеля, ориентиры на мебель/флорариумы/двери. Список — лист «Проверка РП салона». 09.09.2026: корректировки заказчика — столы 4, стеллажи 2, двери 7 + 3 стеклянные; зелёные строки — уже куплено (цена = 0). Список закупок заказчика 09.09 внесён: «закуп заказчика» — зелёное, цена 0; «заказ» — изготовление, остаётся в сумме.</t>
  </si>
  <si>
    <t xml:space="preserve">№</t>
  </si>
  <si>
    <t xml:space="preserve">Характеристика</t>
  </si>
  <si>
    <t xml:space="preserve">Кол-во</t>
  </si>
  <si>
    <t xml:space="preserve">Код прайса</t>
  </si>
  <si>
    <t xml:space="preserve">Цена ручн.</t>
  </si>
  <si>
    <t xml:space="preserve">Цена</t>
  </si>
  <si>
    <t xml:space="preserve">Сумма</t>
  </si>
  <si>
    <t xml:space="preserve">Откуда кол-во</t>
  </si>
  <si>
    <t xml:space="preserve">Примечание</t>
  </si>
  <si>
    <t xml:space="preserve">Стойка ресепшен</t>
  </si>
  <si>
    <t xml:space="preserve">В900 × Д3660 × Г820</t>
  </si>
  <si>
    <t xml:space="preserve">по РП</t>
  </si>
  <si>
    <t xml:space="preserve">пом. 1 Ресепшен; цена — ориентир прайса (±30 %), заменить на КП мебельщика</t>
  </si>
  <si>
    <t xml:space="preserve">Шкаф в ресепшен</t>
  </si>
  <si>
    <t xml:space="preserve">В2530 × Д1400 × Г600 (1,4 п.м.)</t>
  </si>
  <si>
    <t xml:space="preserve">пом. 1; у заказчика «стеллаж-витрина для лаков возле администратора» — заказ; вероятно, это он</t>
  </si>
  <si>
    <t xml:space="preserve">Шкаф в хранилище</t>
  </si>
  <si>
    <t xml:space="preserve">В2400 × Д1770 × Г700 (1,77 п.м.)</t>
  </si>
  <si>
    <t xml:space="preserve">пом. 10 Склад; у заказчика «полки витражные под ключ для материалов — рассчитать» (заказ)</t>
  </si>
  <si>
    <t xml:space="preserve">Шкаф в комнате для курения</t>
  </si>
  <si>
    <t xml:space="preserve">В2400 × Д400 × Г320 (0,4 п.м.)</t>
  </si>
  <si>
    <t xml:space="preserve">пом. 9; в списке заказчика для курилки только урна/столик/диван — шкаф нужен?</t>
  </si>
  <si>
    <t xml:space="preserve">Открытая полка в кабинете топ-мастера 1</t>
  </si>
  <si>
    <t xml:space="preserve">В2400 × Д3150 × Г350 (3,15 п.м.)</t>
  </si>
  <si>
    <t xml:space="preserve">закуп заказчика</t>
  </si>
  <si>
    <t xml:space="preserve">список заказчика: стеллаж 2м×40×80 в кабинете — закуп («дафна»); в РП была открытая полка 3150; в сумму не входит</t>
  </si>
  <si>
    <t xml:space="preserve">Кухонный гарнитур в кабинете топ-мастера 1</t>
  </si>
  <si>
    <t xml:space="preserve">В900 × Д2000 × Г600 (2,0 п.м.)</t>
  </si>
  <si>
    <t xml:space="preserve">пом. 4; в списке заказчика в кабинете только раковина (закуп) — под неё нужна тумба, гарнитур 2000 не упомянут</t>
  </si>
  <si>
    <t xml:space="preserve">Шкаф в кабинете топ-мастера</t>
  </si>
  <si>
    <t xml:space="preserve">В2400 × Д1500 × Г600 (1,5 п.м.)</t>
  </si>
  <si>
    <t xml:space="preserve">пом. 4; в списке заказчика нет — вместо него стеллаж 2 м (закуп) и комод под ключ (заказ)</t>
  </si>
  <si>
    <t xml:space="preserve">Шкаф над инсталляцией</t>
  </si>
  <si>
    <t xml:space="preserve">В1760 × Д3150 × Г350 (3,15 п.м.)</t>
  </si>
  <si>
    <t xml:space="preserve">пом. 8; в списке заказчика только зеркало с подсветкой (заказ) — шкаф над инсталляцией не упомянут</t>
  </si>
  <si>
    <t xml:space="preserve">Тумба под раковиной</t>
  </si>
  <si>
    <t xml:space="preserve">В400 × Д1240 × Г500</t>
  </si>
  <si>
    <t xml:space="preserve">пом. 8 С/У; цена — ориентир прайса (±30 %), заменить на КП мебельщика</t>
  </si>
  <si>
    <t xml:space="preserve">Кухонный гарнитур в комнате стерилизации</t>
  </si>
  <si>
    <t xml:space="preserve">В900 × Д2410 × Г2200 угловой (2,41 + 2,2 ≈ 4,6 п.м.)</t>
  </si>
  <si>
    <t xml:space="preserve">пом. 7; у заказчика: комод 1 + тумба для стерилизаторов 1 — заказ; раковина — закуп</t>
  </si>
  <si>
    <t xml:space="preserve">Маникюрный стол 2200 со встроенным пылесосом (зал)</t>
  </si>
  <si>
    <t xml:space="preserve">В750 × Д2200 × Г600</t>
  </si>
  <si>
    <t xml:space="preserve">по заказчику (заказ)</t>
  </si>
  <si>
    <t xml:space="preserve">пом. 2; список заказчика: 4 стола со встр. пылесосом — заказ (изготовление). Кабинеты — отдельной строкой ниже</t>
  </si>
  <si>
    <t xml:space="preserve">Стеллаж</t>
  </si>
  <si>
    <t xml:space="preserve">В2400 × Д900 × Г300, 2 шт (1,8 п.м.)</t>
  </si>
  <si>
    <t xml:space="preserve">по заказчику 09.09</t>
  </si>
  <si>
    <t xml:space="preserve">пом. 10 Склад; заказчик — 2 шт (в РП 1)</t>
  </si>
  <si>
    <t xml:space="preserve">Шкафчики для персонала 300×2000×500 — 10 шт (вместо шкафа М13)</t>
  </si>
  <si>
    <t xml:space="preserve">10 × 300 = 3,0 п.м., h=2000</t>
  </si>
  <si>
    <t xml:space="preserve">пом. 6; в РП шкаф 3660; у заказчика 10 локеров 300×2000×500 — заказ</t>
  </si>
  <si>
    <t xml:space="preserve">Обеденный стол в кухне</t>
  </si>
  <si>
    <t xml:space="preserve">В900 × Д3140 × Г600</t>
  </si>
  <si>
    <t xml:space="preserve">куплено</t>
  </si>
  <si>
    <t xml:space="preserve">08.09 сказано «куплен», в списке 09.09 — стол обеденный 1800×1000×750 «заказ». Противоречие — уточнить. В РП 3140×600. Пока цена 0</t>
  </si>
  <si>
    <t xml:space="preserve">Шкаф в кабинете топ-мастера 2</t>
  </si>
  <si>
    <t xml:space="preserve">В2400 × Д1800 × Г600 (1,8 п.м.)</t>
  </si>
  <si>
    <t xml:space="preserve">пом. 5 ВИП; у заказчика «стеллаж/полки» — заказ</t>
  </si>
  <si>
    <t xml:space="preserve">Диван</t>
  </si>
  <si>
    <t xml:space="preserve">В400 (спинка 650) × Д2600 × Г1000, спинка 250</t>
  </si>
  <si>
    <t xml:space="preserve">список заказчика: диван 2 м в маникюрном зале — закуп; в сумму не входит</t>
  </si>
  <si>
    <t xml:space="preserve">Диван (дизайнерский, розовый)</t>
  </si>
  <si>
    <t xml:space="preserve">размеры в РП не указаны</t>
  </si>
  <si>
    <t xml:space="preserve">в списке заказчика второй диван — только в курилке (закуп); розовый дизайнерский из РП, видимо, это он — уточнить; в сумму не входит</t>
  </si>
  <si>
    <t xml:space="preserve">размеры не указаны</t>
  </si>
  <si>
    <t xml:space="preserve">список заказчика: стулья в персоналку 4 — закуп; в сумму не входит</t>
  </si>
  <si>
    <t xml:space="preserve">Журнальный стол</t>
  </si>
  <si>
    <t xml:space="preserve">В500, R300</t>
  </si>
  <si>
    <t xml:space="preserve">список заказчика: столик кофейный (зал) 1 + столик в курилке 1 — закуп; в сумму не входит</t>
  </si>
  <si>
    <t xml:space="preserve">В400, R600</t>
  </si>
  <si>
    <t xml:space="preserve">Кресло в ресепшен</t>
  </si>
  <si>
    <t xml:space="preserve">В1200 × 650 × 650</t>
  </si>
  <si>
    <t xml:space="preserve">список заказчика: стулья на ресепшен для админа 2 — закуп; в сумму не входит</t>
  </si>
  <si>
    <t xml:space="preserve">Маникюрный стул</t>
  </si>
  <si>
    <t xml:space="preserve">В900 × 450 × 450</t>
  </si>
  <si>
    <t xml:space="preserve">список заказчика: стулья мастеров 8 (зал) + 6 (педикюр) + 2 + 2 (кабинеты) = 18, Китай, куплены; в сумму не входит</t>
  </si>
  <si>
    <t xml:space="preserve">Маникюрное кресло</t>
  </si>
  <si>
    <t xml:space="preserve">В900 × 650 × 650</t>
  </si>
  <si>
    <t xml:space="preserve">список заказчика: стулья для клиентов 8 (зал) + 1 + 1 (кабинеты) = 10 — закуп. 08.09 было сказано «считаем» — по списку это закуп заказчика, уточнить; в сумму не входит</t>
  </si>
  <si>
    <t xml:space="preserve">Пуфик</t>
  </si>
  <si>
    <t xml:space="preserve">В500 × 450 × 450</t>
  </si>
  <si>
    <t xml:space="preserve">пом. 1; в списке заказчика пуфов нет — нужны ли?</t>
  </si>
  <si>
    <t xml:space="preserve">Кресло в кабинете топ-мастера (педикюрное, Китай)</t>
  </si>
  <si>
    <t xml:space="preserve">В1000 × 1000 × 1500</t>
  </si>
  <si>
    <t xml:space="preserve">список заказчика: в каждом кабинете педикюрное кресло (Китай, куплено) — это и есть «кресло топ-мастера»; в сумму не входит</t>
  </si>
  <si>
    <t xml:space="preserve">Педикюрное кресло</t>
  </si>
  <si>
    <t xml:space="preserve">В1000 × 1000 × 1800</t>
  </si>
  <si>
    <t xml:space="preserve">куплены заказчиком (3 шт) — остаются только подиумы ГКЛ; в сумму не входит (цена ручн. = 0)</t>
  </si>
  <si>
    <t xml:space="preserve">Кухонный смеситель</t>
  </si>
  <si>
    <t xml:space="preserve">выводы ГВС+ХВС h=600, слив h=500</t>
  </si>
  <si>
    <t xml:space="preserve">пом. 6, 7</t>
  </si>
  <si>
    <t xml:space="preserve">Накладной смеситель 1</t>
  </si>
  <si>
    <t xml:space="preserve">ГВС+ХВС и слив в ГКЛ-коробе</t>
  </si>
  <si>
    <t xml:space="preserve">пом. 3, 4, 5</t>
  </si>
  <si>
    <t xml:space="preserve">Накладной смеситель 2</t>
  </si>
  <si>
    <t xml:space="preserve">ГВС+ХВС h=600, слив h=500</t>
  </si>
  <si>
    <t xml:space="preserve">пом. 3, 5, 8</t>
  </si>
  <si>
    <t xml:space="preserve">Накладной смеситель 3</t>
  </si>
  <si>
    <t xml:space="preserve">пом. 4, 5</t>
  </si>
  <si>
    <t xml:space="preserve">Кухонная раковина 800×500</t>
  </si>
  <si>
    <t xml:space="preserve">монтаж под столешницу</t>
  </si>
  <si>
    <t xml:space="preserve">пом. 7 Стерилизация — раковина в списке заказчика «закуп»; в сумму не входит</t>
  </si>
  <si>
    <t xml:space="preserve">Кухонная раковина 450×450</t>
  </si>
  <si>
    <t xml:space="preserve">пом. 6 Персоналка — раковина «закуп»; в сумму не входит</t>
  </si>
  <si>
    <t xml:space="preserve">Накладная раковина в С/У 600×400</t>
  </si>
  <si>
    <t xml:space="preserve">пом. 8 С/У</t>
  </si>
  <si>
    <t xml:space="preserve">Накладная раковина в педикюрной зоне 500×450</t>
  </si>
  <si>
    <t xml:space="preserve">пом. 3 Педикюрная</t>
  </si>
  <si>
    <t xml:space="preserve">Раковина, встроенная в ГКЛ-короб 350×300</t>
  </si>
  <si>
    <t xml:space="preserve">в кабинетах топ-мастеров</t>
  </si>
  <si>
    <t xml:space="preserve">пом. 4, 5 — раковины в кабинетах «закуп»; в сумму не входит</t>
  </si>
  <si>
    <t xml:space="preserve">выводы ГВС+ХВС h=700</t>
  </si>
  <si>
    <t xml:space="preserve">Подвесной унитаз</t>
  </si>
  <si>
    <t xml:space="preserve">ХВС и слив — высоты по тех. карте инсталляции</t>
  </si>
  <si>
    <t xml:space="preserve">Кнопка слива для унитаза</t>
  </si>
  <si>
    <t xml:space="preserve">Подвесной направленный светильник на магнитный шинопровод</t>
  </si>
  <si>
    <t xml:space="preserve">220V, 3000–4000K</t>
  </si>
  <si>
    <t xml:space="preserve">пом. все; уточнить систему трека (220V или 48V) до заказа!</t>
  </si>
  <si>
    <t xml:space="preserve">Магнитный шинопровод подвесной</t>
  </si>
  <si>
    <t xml:space="preserve">1 отрезка по 9800 мм</t>
  </si>
  <si>
    <t xml:space="preserve">пом. 11 Коридор</t>
  </si>
  <si>
    <t xml:space="preserve">2 отрезка по 5000 мм</t>
  </si>
  <si>
    <t xml:space="preserve">4 отрезка по 4800 мм</t>
  </si>
  <si>
    <t xml:space="preserve">пом. 2 Маникюрная</t>
  </si>
  <si>
    <t xml:space="preserve">4 отрезка по 3100 мм</t>
  </si>
  <si>
    <t xml:space="preserve">пом. 1, 4</t>
  </si>
  <si>
    <t xml:space="preserve">3 отрезка по 2850 мм</t>
  </si>
  <si>
    <t xml:space="preserve">пом. 5, 1</t>
  </si>
  <si>
    <t xml:space="preserve">1 отрезка по 2440 мм</t>
  </si>
  <si>
    <t xml:space="preserve">пом. 6 Мини-кухня</t>
  </si>
  <si>
    <t xml:space="preserve">2 отрезка по 1800 мм</t>
  </si>
  <si>
    <t xml:space="preserve">пом. 7, 8</t>
  </si>
  <si>
    <t xml:space="preserve">Подвесной светильник в курилке</t>
  </si>
  <si>
    <t xml:space="preserve">220V</t>
  </si>
  <si>
    <t xml:space="preserve">пом. 9 Smoking room</t>
  </si>
  <si>
    <t xml:space="preserve">Настенный светильник в курилке</t>
  </si>
  <si>
    <t xml:space="preserve">220V, h=1600</t>
  </si>
  <si>
    <t xml:space="preserve">Подвесная потолочная конструкция из ЛДСП с подсветкой</t>
  </si>
  <si>
    <t xml:space="preserve">2000×1450, три контура, LED + оргстекло, растения</t>
  </si>
  <si>
    <t xml:space="preserve">пом. 4, 5; лист 9; кол-во по плану л.8 (по одной в каждом кабинете топ-мастера)</t>
  </si>
  <si>
    <t xml:space="preserve">Теневой плинтус с LED-подсветкой</t>
  </si>
  <si>
    <t xml:space="preserve">по периметру, узел: ГКЛ 12,5 + шпатлёвка + LED + пробковый компенсатор</t>
  </si>
  <si>
    <t xml:space="preserve">пом. все</t>
  </si>
  <si>
    <t xml:space="preserve">LED-лента: потолочные контуры</t>
  </si>
  <si>
    <t xml:space="preserve">по плану л.10 (жёлтый контур)</t>
  </si>
  <si>
    <t xml:space="preserve">пом. все; метраж в РП не посчитан — снять с плана</t>
  </si>
  <si>
    <t xml:space="preserve">LED-лента: подсветка в мебели (маникюрные лампы, шкаф, поддон)</t>
  </si>
  <si>
    <t xml:space="preserve">по плану л.10 (красный контур)</t>
  </si>
  <si>
    <t xml:space="preserve">пом. 2, 4, 5; метраж в РП не посчитан</t>
  </si>
  <si>
    <t xml:space="preserve">LED-лента: подсветка в отделке (флорариумы, настенная)</t>
  </si>
  <si>
    <t xml:space="preserve">по плану л.10 (зелёный контур)</t>
  </si>
  <si>
    <t xml:space="preserve">пом. 1, 2, 3, 4, 5, 8; метраж в РП не посчитан</t>
  </si>
  <si>
    <t xml:space="preserve">Блоки питания / драйверы LED</t>
  </si>
  <si>
    <t xml:space="preserve">разместить в эл. щите, обеспечить доступ</t>
  </si>
  <si>
    <t xml:space="preserve">компл</t>
  </si>
  <si>
    <t xml:space="preserve">пом. щит; подобрать после расчёта метража</t>
  </si>
  <si>
    <t xml:space="preserve">Одноклавишный выключатель (чёрный)</t>
  </si>
  <si>
    <t xml:space="preserve">Двухклавишный выключатель (чёрный)</t>
  </si>
  <si>
    <t xml:space="preserve">Розетка (чёрная)</t>
  </si>
  <si>
    <t xml:space="preserve">220В с заземлением, h по плану (300/900/1000…)</t>
  </si>
  <si>
    <t xml:space="preserve">пом. все; в подсчёт РП НЕ входят розетки в столах и внутрипольные блоки</t>
  </si>
  <si>
    <t xml:space="preserve">Рамка 1-постовая (чёрная)</t>
  </si>
  <si>
    <t xml:space="preserve">Рамка 2-постовая (чёрная)</t>
  </si>
  <si>
    <t xml:space="preserve">Рамка 3-постовая (чёрная)</t>
  </si>
  <si>
    <t xml:space="preserve">Рамка 4-постовая (чёрная)</t>
  </si>
  <si>
    <t xml:space="preserve">Рамка 5-постовая (чёрная)</t>
  </si>
  <si>
    <t xml:space="preserve">Розетки в маникюрных столах</t>
  </si>
  <si>
    <t xml:space="preserve">4 стола × 8 шт (4 на рабочее место)</t>
  </si>
  <si>
    <t xml:space="preserve">по оборудованию заказчика</t>
  </si>
  <si>
    <t xml:space="preserve">на каждое место: машинка с вытяжкой + LED-сушка + лампа + встроенный вентилятор = 4 прибора → «8 розеток в столе» = на СТОЛ. Возврат к 32</t>
  </si>
  <si>
    <t xml:space="preserve">Розетки в столах топ-мастеров</t>
  </si>
  <si>
    <t xml:space="preserve">2 стола × 4 шт</t>
  </si>
  <si>
    <t xml:space="preserve">пом. 4, 5; сверх подсчёта РП — снято с плана л.13</t>
  </si>
  <si>
    <t xml:space="preserve">Розетки в стойке ресепшен</t>
  </si>
  <si>
    <t xml:space="preserve">2 × 2 шт</t>
  </si>
  <si>
    <t xml:space="preserve">пом. 1 Ресепшен; сверх подсчёта РП — снято с плана л.13</t>
  </si>
  <si>
    <t xml:space="preserve">Внутрипольный блок на 4 розетки</t>
  </si>
  <si>
    <t xml:space="preserve">пом. 3 Педикюрная; сверх подсчёта РП — снято с плана л.13</t>
  </si>
  <si>
    <t xml:space="preserve">Вывод UTP для камеры видеонаблюдения</t>
  </si>
  <si>
    <t xml:space="preserve">под потолок / под ригель, запас 200 мм</t>
  </si>
  <si>
    <t xml:space="preserve">пом. 1, 3, 4, 7, 8, 9, 10, 11; снято с плана л.11</t>
  </si>
  <si>
    <t xml:space="preserve">под потолок, запас 200 мм</t>
  </si>
  <si>
    <t xml:space="preserve">по заказчику</t>
  </si>
  <si>
    <t xml:space="preserve">в РП 2 (пом. 1, 3); у заказчика 4 телевизора: зал, педикюр, кабинет, ВИП — +2 вывода в кабинетах</t>
  </si>
  <si>
    <t xml:space="preserve">Вывод питания маникюрной лампы (в полу / в столе)</t>
  </si>
  <si>
    <t xml:space="preserve">пом. 2, 4, 5; снято с плана л.10</t>
  </si>
  <si>
    <t xml:space="preserve">Кафель 1200×1200</t>
  </si>
  <si>
    <t xml:space="preserve">с запасом +10 %</t>
  </si>
  <si>
    <t xml:space="preserve">пом. все; 140 шт × 1,44 = 201,6 м² — это площадь 200 м² БЕЗ запаса, хотя в РП написано «+10 %». Реальный запас — отдельной строкой ниже</t>
  </si>
  <si>
    <t xml:space="preserve">Краска для потолка</t>
  </si>
  <si>
    <t xml:space="preserve">с запасом +15 %</t>
  </si>
  <si>
    <t xml:space="preserve">пом. все; цвет согласовать с дизайнером</t>
  </si>
  <si>
    <t xml:space="preserve">Краска для стен</t>
  </si>
  <si>
    <t xml:space="preserve">с запасом +15 %, цвет 1</t>
  </si>
  <si>
    <t xml:space="preserve">Барельеф из гипса</t>
  </si>
  <si>
    <t xml:space="preserve">3080×2540 = 7,82 м², 6 полос по 513 мм</t>
  </si>
  <si>
    <t xml:space="preserve">пом. 5 Топ-мастер 2, стена A (л.31) — не педикюрная; цена — ориентир прайса, заменить на КП</t>
  </si>
  <si>
    <t xml:space="preserve">Бамбуковая панель 1220×3000, текстура дерева (гладкая)</t>
  </si>
  <si>
    <t xml:space="preserve">пом. 4 Топ-мастер 1</t>
  </si>
  <si>
    <t xml:space="preserve">Бамбуковая панель 1220×3000, текстура дерева, рельефная</t>
  </si>
  <si>
    <t xml:space="preserve">пом. 3, 5, коридор у лифта</t>
  </si>
  <si>
    <t xml:space="preserve">Соединительный профиль (вертикальный) 3000 мм</t>
  </si>
  <si>
    <t xml:space="preserve">Профиль внешнего угла 3000 мм</t>
  </si>
  <si>
    <t xml:space="preserve">Наконечник 3000 мм</t>
  </si>
  <si>
    <t xml:space="preserve">Кафель 1200×1200 — запас на подрезку</t>
  </si>
  <si>
    <t xml:space="preserve">+10 % к 140 шт</t>
  </si>
  <si>
    <t xml:space="preserve">предп. (расчёт)</t>
  </si>
  <si>
    <t xml:space="preserve">в РП запас заявлен, но не заложен; для формата 1200×1200 с диагональными подрезками у радиусных стен 10 % — минимум</t>
  </si>
  <si>
    <t xml:space="preserve">Флорариум 1 с подсветкой</t>
  </si>
  <si>
    <t xml:space="preserve">1040 × 2540, глубина 100 (2,64 м²)</t>
  </si>
  <si>
    <t xml:space="preserve">пом. 8 С/У, стена C (л.17, л.40) — не топ-мастер 1; цена — ориентир ФЛ-М2</t>
  </si>
  <si>
    <t xml:space="preserve">Флорариум 2 с подсветкой + стекло 700</t>
  </si>
  <si>
    <t xml:space="preserve">1240 × 2140, глубина 150, стекло 700 по центру (2,65 м²)</t>
  </si>
  <si>
    <t xml:space="preserve">пом. 8 С/У, стена A (л.37); из 2,65 м² ≈1,5 м² — стекло; цена — ориентир ФЛ-М2</t>
  </si>
  <si>
    <t xml:space="preserve">Флорариум 3 с подсветкой</t>
  </si>
  <si>
    <t xml:space="preserve">1100 × 2540, глубина 125–150 (2,79 м²)</t>
  </si>
  <si>
    <t xml:space="preserve">пом. 2 Маникюрная, у пом. 6 (л.17, л.26 стена B); в старой версии размеры были перепутаны</t>
  </si>
  <si>
    <t xml:space="preserve">Флорариум 4 с подсветкой</t>
  </si>
  <si>
    <t xml:space="preserve">600 × 2560, глубина 100–200 (1,54 м²)</t>
  </si>
  <si>
    <t xml:space="preserve">пом. 2 Маникюрная, у пом. 5 (л.17, л.26 стена B); в старой версии размеры были перепутаны</t>
  </si>
  <si>
    <t xml:space="preserve">Флорариум 5 с подсветкой</t>
  </si>
  <si>
    <t xml:space="preserve">1100 × 2540, глубина 200 (2,79 м²)</t>
  </si>
  <si>
    <t xml:space="preserve">пом. 3 Педикюрная. ВНИМАНИЕ: по л.20 Ф5 = 1100, но на развёртке л.28 стена C (где Ф5 стоит по плану л.17) нарисован флорариум 600 — метки Ф5/Ф6 перепутаны либо на плане, либо на развёртке</t>
  </si>
  <si>
    <t xml:space="preserve">Флорариум 6 с подсветкой</t>
  </si>
  <si>
    <t xml:space="preserve">600 × 2540, глубина 200 (1,52 м²)</t>
  </si>
  <si>
    <t xml:space="preserve">пом. 3 Педикюрная, наружная стена B (л.28 — там нарисован 1100). См. примечание к Ф5; в старой версии стояло 1100</t>
  </si>
  <si>
    <t xml:space="preserve">Рейка ЛДСП 40×80, h=2960 (перегородка в педикюрную зону)</t>
  </si>
  <si>
    <t xml:space="preserve">шаг 30 мм, 27 реек на панель 1860; по плану л.2 — 2 панели по 1860</t>
  </si>
  <si>
    <t xml:space="preserve">пом. 3 Педикюрная; на л.23 «27 шт» — это одна панель (27×40 + 26×30 = 1860 мм). На л.2 два проёма по 1860 → 54 рейки</t>
  </si>
  <si>
    <t xml:space="preserve">Рейка ЛДСП 40×80, h=2250 (перегородка в маникюрную зону)</t>
  </si>
  <si>
    <t xml:space="preserve">пом. 2 Маникюрная; аналогично л.24 → 54 рейки</t>
  </si>
  <si>
    <t xml:space="preserve">Декоративная перегородка «лист»</t>
  </si>
  <si>
    <t xml:space="preserve">580 × 2390 (2690 с креплениями пол/потолок)</t>
  </si>
  <si>
    <t xml:space="preserve">пом. 1 / 2, у стойки; материал в РП не указан (принят металл лазерная резка) — уточнить; цена — ориентир</t>
  </si>
  <si>
    <t xml:space="preserve">ГКЛ-поддон 2100×900 h=250 с усиленным металлокаркасом (кабинеты топ-мастеров)</t>
  </si>
  <si>
    <t xml:space="preserve">h=250, R250, ниша под раковину 400×300, подсветка и сантехника внутри</t>
  </si>
  <si>
    <t xml:space="preserve">пом. 4 и 5 (л.5, л.10–12 «подсветка в поддоне» в обоих кабинетах) — не педикюрная; в старой версии 1 шт. Расчёт каркаса — на конструкторе</t>
  </si>
  <si>
    <t xml:space="preserve">Инсталляция, обшитая ГКЛ в 2 слоя</t>
  </si>
  <si>
    <t xml:space="preserve">h=1200</t>
  </si>
  <si>
    <t xml:space="preserve">пом. 8 С/У; цена — ориентир (материал + работа)</t>
  </si>
  <si>
    <t xml:space="preserve">Возводимые стены и перегородки ГКЛ</t>
  </si>
  <si>
    <t xml:space="preserve">h=2250 / 2960, закладные бруски по 400–500 мм</t>
  </si>
  <si>
    <t xml:space="preserve">предп. (снято с л.5)</t>
  </si>
  <si>
    <t xml:space="preserve">пом. все; ≈49 п.м. возводимых стен × h 2,25–2,96 ≈ 130 м² по оси. Перегородки в салоне уже смонтированы бригадами — стоимость брать из актов, ориентир ГКЛ-ПЕРЕГ (380 000/м²) только справочно</t>
  </si>
  <si>
    <t xml:space="preserve">Двери глухие (скрытый монтаж), h=2200</t>
  </si>
  <si>
    <t xml:space="preserve">проёмы h=2200 без учёта короба</t>
  </si>
  <si>
    <t xml:space="preserve">заказчик: 2 в кабинетах топ-мастеров, 1 С/У, 1 стерилизация, 1 склад = 5 названо, итог назван 7 — какие ещё две (курилка? мини-кухня? вход из ЛК?)</t>
  </si>
  <si>
    <t xml:space="preserve">Блок питания 48V 400 Вт для магнитного трека</t>
  </si>
  <si>
    <t xml:space="preserve">101 спот × 24 Вт = 2,4 кВт, загрузка ≤80%</t>
  </si>
  <si>
    <t xml:space="preserve">в РП отсутствует</t>
  </si>
  <si>
    <t xml:space="preserve">Тросы подвеса рельса</t>
  </si>
  <si>
    <t xml:space="preserve">66 п.м. трека, ~0,75 шт/м</t>
  </si>
  <si>
    <t xml:space="preserve">Соединители рельсов</t>
  </si>
  <si>
    <t xml:space="preserve">17 отрезков + углы</t>
  </si>
  <si>
    <t xml:space="preserve">Нагревательный мат IQ FLOOR MAT</t>
  </si>
  <si>
    <t xml:space="preserve">секции 12×1, 20×3, 8×1, 4×1</t>
  </si>
  <si>
    <t xml:space="preserve">по подбору (stab.uz)</t>
  </si>
  <si>
    <t xml:space="preserve">в РП раздела тёплого пола нет</t>
  </si>
  <si>
    <t xml:space="preserve">Терморегулятор</t>
  </si>
  <si>
    <t xml:space="preserve">по одному на секцию</t>
  </si>
  <si>
    <t xml:space="preserve">предп. (по секциям)</t>
  </si>
  <si>
    <t xml:space="preserve">Круглый подиум ГКЛ R350 h=100 под педикюрное кресло</t>
  </si>
  <si>
    <t xml:space="preserve">3 шт по л.5 (R350, h=100мм)</t>
  </si>
  <si>
    <t xml:space="preserve">пом. 3 Педикюрная; в старой версии отсутствовали</t>
  </si>
  <si>
    <t xml:space="preserve">Фреска / фотообои в арочных нишах</t>
  </si>
  <si>
    <t xml:space="preserve">3 арки 1140×2200 ≈ 2,37 м² каждая</t>
  </si>
  <si>
    <t xml:space="preserve">предп. (по развёрткам)</t>
  </si>
  <si>
    <t xml:space="preserve">пом. 1 стена A — 2 арки (л.26), пом. 5 стена B — 1 арка (л.31); в спецификации РП НЕТ, цветочный рисунок только на развёртках</t>
  </si>
  <si>
    <t xml:space="preserve">Внутреннее остекление (окна и глухие перегородки между помещениями)</t>
  </si>
  <si>
    <t xml:space="preserve">окна 1000×560 ×2 (л.27/29), 850×430 (л.32), перегородка 1600×2540 (л.28), окно С/У (л.40)</t>
  </si>
  <si>
    <t xml:space="preserve">в РП не специфицировано; см. также ведомость витражей</t>
  </si>
  <si>
    <t xml:space="preserve">Двери стеклянные (закалённое 10 мм, фурнитура, доводчик)</t>
  </si>
  <si>
    <t xml:space="preserve">место установки пока не определено — со слов заказчика</t>
  </si>
  <si>
    <t xml:space="preserve">3 шт «пока точно не ясно» — предположительно педикюрная зона (стеклянная перегородка 1600 на л.28) и/или кабинеты</t>
  </si>
  <si>
    <t xml:space="preserve">Маникюрные столы в кабинетах со встроенным пылесосом</t>
  </si>
  <si>
    <t xml:space="preserve">1400×500×750 (кабинет) + 1000×500×750 (ВИП)</t>
  </si>
  <si>
    <t xml:space="preserve">пом. 4, 5; в РП это М11</t>
  </si>
  <si>
    <t xml:space="preserve">Столики для маникюра в педикюрном зале</t>
  </si>
  <si>
    <t xml:space="preserve">малые приставные</t>
  </si>
  <si>
    <t xml:space="preserve">пом. 3; в РП отсутствуют</t>
  </si>
  <si>
    <t xml:space="preserve">Кухонный гарнитур в персоналке 2400×600×850 + полка над столешницей 1000×300</t>
  </si>
  <si>
    <t xml:space="preserve">2,4 п.м. низ + полка</t>
  </si>
  <si>
    <t xml:space="preserve">пом. 6; в спецификации мебели РП кухни НЕТ, хотя раковина 450×450 и смеситель есть</t>
  </si>
  <si>
    <t xml:space="preserve">Комод небольшой под ключ (кабинет топ-мастера 1)</t>
  </si>
  <si>
    <t xml:space="preserve">пом. 4</t>
  </si>
  <si>
    <t xml:space="preserve">Зеркало с подсветкой и надписью 2000×800</t>
  </si>
  <si>
    <t xml:space="preserve">маникюрный зал</t>
  </si>
  <si>
    <t xml:space="preserve">пом. 1/2; в РП нет — нужен вывод питания под LED и место на стене</t>
  </si>
  <si>
    <t xml:space="preserve">Зеркало с подсветкой в С/У</t>
  </si>
  <si>
    <t xml:space="preserve">пом. 8; в РП нет отдельной позиции</t>
  </si>
  <si>
    <t xml:space="preserve">строк без цены</t>
  </si>
  <si>
    <t xml:space="preserve">строк с «?»</t>
  </si>
  <si>
    <t xml:space="preserve">Салон, 2 этаж — сверка таблицы с РП INSIDROOM (40 листов), 08.09.2026</t>
  </si>
  <si>
    <t xml:space="preserve">Что проверялось: каждая спецификация РП против строк листа «Салон». Статус: ✔ совпадает · ✎ исправлено в файле · ⚠ ошибка/нестыковка в самом РП — вопрос дизайнеру</t>
  </si>
  <si>
    <t xml:space="preserve">Лист РП</t>
  </si>
  <si>
    <t xml:space="preserve">Что в РП</t>
  </si>
  <si>
    <t xml:space="preserve">Что было в таблице</t>
  </si>
  <si>
    <t xml:space="preserve">Статус</t>
  </si>
  <si>
    <t xml:space="preserve">Что сделано / вопрос</t>
  </si>
  <si>
    <t xml:space="preserve">Влияние на сумму, сум</t>
  </si>
  <si>
    <t xml:space="preserve">л.3–4</t>
  </si>
  <si>
    <t xml:space="preserve">15 позиций корпусной, 2 мягкой, 9 отдельно стоящей; М11 маникюрный стол — 1 шт</t>
  </si>
  <si>
    <t xml:space="preserve">то же, без цен</t>
  </si>
  <si>
    <t xml:space="preserve">⚠ ✎</t>
  </si>
  <si>
    <t xml:space="preserve">На плане л.2 стол М11 стоит 6 раз (4 в зоне 2 + по 1 у топ-мастеров); 10 кресел клиента М8 = 4×2 + 2 → принято 6. Всем позициям присвоены ориентиры прайса (МБ-…)</t>
  </si>
  <si>
    <t xml:space="preserve">+≈30 млн (5 столов)</t>
  </si>
  <si>
    <t xml:space="preserve">л.3</t>
  </si>
  <si>
    <t xml:space="preserve">Марки М2 (шкаф) и М2 (диван), М3, М4, М6–М11 дублируются между корпусной и отдельно стоящей</t>
  </si>
  <si>
    <t xml:space="preserve">отмечено</t>
  </si>
  <si>
    <t xml:space="preserve">⚠</t>
  </si>
  <si>
    <t xml:space="preserve">При заказе указывать группу — иначе мебельщик соберёт не то</t>
  </si>
  <si>
    <t xml:space="preserve">—</t>
  </si>
  <si>
    <t xml:space="preserve">л.7</t>
  </si>
  <si>
    <t xml:space="preserve">Смесители 2+4+4+2 = 12; раковины 1+1+1+3+2 = 8; гиг. душ, унитаз, инсталляция, кнопка</t>
  </si>
  <si>
    <t xml:space="preserve">совпадает</t>
  </si>
  <si>
    <t xml:space="preserve">✔ ⚠</t>
  </si>
  <si>
    <t xml:space="preserve">Количества совпадают, но 4 «накладных смесителя 2» не имеют раковин в спецификации — вопрос дизайнеру</t>
  </si>
  <si>
    <t xml:space="preserve">возможно +4 раковины ≈ 4–5 млн</t>
  </si>
  <si>
    <t xml:space="preserve">л.8</t>
  </si>
  <si>
    <t xml:space="preserve">101 спот, шинопровод 9800/5000×2/4800×4/3100×4/2850×3/2440/1800×2 = 66 п.м., курилка 2+1</t>
  </si>
  <si>
    <t xml:space="preserve">✔</t>
  </si>
  <si>
    <t xml:space="preserve">Подвесная конструкция: л.9 — ЛДСП, л.8/л.11 — МДФ; 2 шт по плану (пом. 4 и 5)</t>
  </si>
  <si>
    <t xml:space="preserve">л.6</t>
  </si>
  <si>
    <t xml:space="preserve">LED</t>
  </si>
  <si>
    <t xml:space="preserve">Теневой плинтус 102 п.м.</t>
  </si>
  <si>
    <t xml:space="preserve">Метраж LED-лент в РП не посчитан — оставлены снятые с л.10 54 / 8 / 13,92 п.м.</t>
  </si>
  <si>
    <t xml:space="preserve">л.13</t>
  </si>
  <si>
    <t xml:space="preserve">1-кл 8, 2-кл 30, розетки 105, рамки 10/11/8/12/4; примечание: внутрипольные блоки не входят</t>
  </si>
  <si>
    <t xml:space="preserve">совпадает; + в столах 32/8/4, блоки 2</t>
  </si>
  <si>
    <t xml:space="preserve">✎ ⚠</t>
  </si>
  <si>
    <t xml:space="preserve">Метка «8 розеток в столе!» стоит на РЯД из 2 столов → 16, а не 32. Нестыковка РП: 143 механизма против 124 постов в рамках. Цены электрики переведены на уровень AtlasDesign (чёрный)</t>
  </si>
  <si>
    <t xml:space="preserve">−≈2,4 млн (розетки), −≈19 млн (цены)</t>
  </si>
  <si>
    <t xml:space="preserve">л.15</t>
  </si>
  <si>
    <t xml:space="preserve">Кафель 1200×1200 — 140 шт «с запасом +10 %»</t>
  </si>
  <si>
    <t xml:space="preserve">140 шт</t>
  </si>
  <si>
    <t xml:space="preserve">140 × 1,44 = 201,6 м² = площадь 200 м² без запаса. Добавлена строка «запас 15 шт»</t>
  </si>
  <si>
    <t xml:space="preserve">+5,9 млн</t>
  </si>
  <si>
    <t xml:space="preserve">л.21</t>
  </si>
  <si>
    <t xml:space="preserve">Стены</t>
  </si>
  <si>
    <t xml:space="preserve">Краска потолок 290 м², стены 350 м² (+15 %)</t>
  </si>
  <si>
    <t xml:space="preserve">Остаётся расхождение 18,45 млн (по м²) против 12 млн (16 банок) — свести; л.21 упоминает штукатурку</t>
  </si>
  <si>
    <t xml:space="preserve">л.16</t>
  </si>
  <si>
    <t xml:space="preserve">Бамбук</t>
  </si>
  <si>
    <t xml:space="preserve">Панели 3 + 9, профили 8/2/14</t>
  </si>
  <si>
    <t xml:space="preserve">л.17–20</t>
  </si>
  <si>
    <t xml:space="preserve">Ф1 1040×2540; Ф2 1240×2140+стекло; Ф3 1100×2540; Ф4 600×2560; Ф5 1100×2540; Ф6 600×2540</t>
  </si>
  <si>
    <t xml:space="preserve">Ф3 1100×2560, Ф4 1100×2540, Ф6 1100×2540; Ф1 — «пом. 4»</t>
  </si>
  <si>
    <t xml:space="preserve">Размеры Ф3/Ф4/Ф6 исправлены, привязки — по л.17 (Ф1, Ф2 — в С/У). Ф5/Ф6 перепутаны между л.20 и развёртками л.28. Единица → м² (13,9 м² всего), ориентир 4 млн/м²</t>
  </si>
  <si>
    <t xml:space="preserve">+≈56 млн</t>
  </si>
  <si>
    <t xml:space="preserve">л.22</t>
  </si>
  <si>
    <t xml:space="preserve">Декор</t>
  </si>
  <si>
    <t xml:space="preserve">Барельеф из гипса 3080×2540</t>
  </si>
  <si>
    <t xml:space="preserve">1 шт, «пом. 3»</t>
  </si>
  <si>
    <t xml:space="preserve">✎</t>
  </si>
  <si>
    <t xml:space="preserve">Стоит в пом. 5 стена A (л.31). Переведён в м² (7,82), ориентир 1,8 млн/м²</t>
  </si>
  <si>
    <t xml:space="preserve">+≈14 млн</t>
  </si>
  <si>
    <t xml:space="preserve">л.23–24</t>
  </si>
  <si>
    <t xml:space="preserve">Рейки ЛДСП 40×80 — «27 шт» на каждом листе</t>
  </si>
  <si>
    <t xml:space="preserve">27 + 27</t>
  </si>
  <si>
    <t xml:space="preserve">27 реек = одна панель 1860 (27×40 + 26×30). По л.2 в каждой зоне ДВА проёма по 1860 → 54 + 54</t>
  </si>
  <si>
    <t xml:space="preserve">+≈9,7 млн</t>
  </si>
  <si>
    <t xml:space="preserve">л.25</t>
  </si>
  <si>
    <t xml:space="preserve">Декоративная перегородка «лист» 580×2390</t>
  </si>
  <si>
    <t xml:space="preserve">1 шт</t>
  </si>
  <si>
    <t xml:space="preserve">Материал не указан — принят металл лазерной резки, 4,5 млн</t>
  </si>
  <si>
    <t xml:space="preserve">+4,5 млн</t>
  </si>
  <si>
    <t xml:space="preserve">л.5</t>
  </si>
  <si>
    <t xml:space="preserve">ГКЛ</t>
  </si>
  <si>
    <t xml:space="preserve">ГКЛ-поддон 2100×900 h=250 — ДВА (пом. 4 и 5); круглые подиумы R350 h=100 — 3 (педикюр); инсталляция ГКЛ 2 слоя</t>
  </si>
  <si>
    <t xml:space="preserve">поддон 1 шт «педикюрная», подиумов нет</t>
  </si>
  <si>
    <t xml:space="preserve">Поддоны → 2 шт в кабинетах топ-мастеров; добавлены 3 подиума. Возводимые стены ≈130 м² — смонтированы бригадами, брать из актов</t>
  </si>
  <si>
    <t xml:space="preserve">+≈7,4 млн</t>
  </si>
  <si>
    <t xml:space="preserve">л.26, 31</t>
  </si>
  <si>
    <t xml:space="preserve">Отделка</t>
  </si>
  <si>
    <t xml:space="preserve">Арочные ниши с цветочной фреской: 2 на стене A ресепшена, 1 в пом. 5</t>
  </si>
  <si>
    <t xml:space="preserve">отсутствовало</t>
  </si>
  <si>
    <t xml:space="preserve">В спецификациях РП нет вообще. Добавлено 7,1 м² по 600 000</t>
  </si>
  <si>
    <t xml:space="preserve">+4,3 млн</t>
  </si>
  <si>
    <t xml:space="preserve">л.27–32, 40</t>
  </si>
  <si>
    <t xml:space="preserve">Внутренние окна 1000×560 ×2, 850×430, стеклянная перегородка 1600×2540, окно С/У</t>
  </si>
  <si>
    <t xml:space="preserve">Не специфицировано в РП. Добавлено 5,9 м² по 1 млн — предположение</t>
  </si>
  <si>
    <t xml:space="preserve">л.2</t>
  </si>
  <si>
    <t xml:space="preserve">~10 дверных проёмов h=2200; спецификации дверей нет (ссылка на л.07 ведёт на сантехнику)</t>
  </si>
  <si>
    <t xml:space="preserve">«?»</t>
  </si>
  <si>
    <t xml:space="preserve">Принято 10 дверей скрытого монтажа по 6 млн — предположение</t>
  </si>
  <si>
    <t xml:space="preserve">+60 млн</t>
  </si>
  <si>
    <t xml:space="preserve">Столешницы</t>
  </si>
  <si>
    <t xml:space="preserve">Столешницы для М6, М10, М14, тумбы, ниш поддонов</t>
  </si>
  <si>
    <t xml:space="preserve">отсутствует</t>
  </si>
  <si>
    <t xml:space="preserve">Не специфицированы. В цене кухни (МБ-КУХ-ПМ) заложена ЛДСП; камень +≈2 млн/п.м.</t>
  </si>
  <si>
    <t xml:space="preserve">Фитнес — -1 этаж (139,58 м², РП Insydrium, 29 л.)</t>
  </si>
  <si>
    <t xml:space="preserve">Кол-во и «Цена ручн.» — синие вводные. Цена берётся из листа «Прайс» по коду, ручная цена перекрывает прайс. Жёлтые «?» — данных нет, сумма по строке = 0 до заполнения. Оранжевые — количество предположено, проверить по РП.</t>
  </si>
  <si>
    <t xml:space="preserve">L-1 Магнитный трек 3000 мм, подвес 450 мм</t>
  </si>
  <si>
    <t xml:space="preserve">L-2 Магнитный трек 2000 мм, подвес 450 мм</t>
  </si>
  <si>
    <t xml:space="preserve">всего 93 п.м. трека</t>
  </si>
  <si>
    <t xml:space="preserve">L-3 Поворотный спот</t>
  </si>
  <si>
    <t xml:space="preserve">24 Вт</t>
  </si>
  <si>
    <t xml:space="preserve">3,07 кВт суммарно; CRI ≥ 90 проверить на образце</t>
  </si>
  <si>
    <t xml:space="preserve">L-4 Точечный светильник</t>
  </si>
  <si>
    <t xml:space="preserve">L-5 Бра 900 мм</t>
  </si>
  <si>
    <t xml:space="preserve">Тросы подвеса</t>
  </si>
  <si>
    <t xml:space="preserve">3 шт на 3 м, 2 шт на 2 м</t>
  </si>
  <si>
    <t xml:space="preserve">в РП нет</t>
  </si>
  <si>
    <t xml:space="preserve">3,07 кВт / 320 Вт полезных</t>
  </si>
  <si>
    <t xml:space="preserve">35 отрезков</t>
  </si>
  <si>
    <t xml:space="preserve">Душевая кабина / ограждение</t>
  </si>
  <si>
    <t xml:space="preserve">душевые 1,78 и 1,75 м²</t>
  </si>
  <si>
    <t xml:space="preserve">Смеситель душевой</t>
  </si>
  <si>
    <t xml:space="preserve">предп.</t>
  </si>
  <si>
    <t xml:space="preserve">в РП состав С-1…С-12 уточнить</t>
  </si>
  <si>
    <t xml:space="preserve">Трап душевой</t>
  </si>
  <si>
    <t xml:space="preserve">Раковина</t>
  </si>
  <si>
    <t xml:space="preserve">размер по РП уточнить</t>
  </si>
  <si>
    <t xml:space="preserve">Смеситель для раковины</t>
  </si>
  <si>
    <t xml:space="preserve">Унитаз</t>
  </si>
  <si>
    <t xml:space="preserve">подвесной?</t>
  </si>
  <si>
    <t xml:space="preserve">тип уточнить</t>
  </si>
  <si>
    <t xml:space="preserve">Инсталляция</t>
  </si>
  <si>
    <t xml:space="preserve">если подвесные</t>
  </si>
  <si>
    <t xml:space="preserve">Канализационный насос для душа</t>
  </si>
  <si>
    <t xml:space="preserve">опция: сток из подвала</t>
  </si>
  <si>
    <t xml:space="preserve">предп. (опция)</t>
  </si>
  <si>
    <t xml:space="preserve">решение не принято</t>
  </si>
  <si>
    <t xml:space="preserve">предп. (аналог салона ×0.70)</t>
  </si>
  <si>
    <t xml:space="preserve">105 в салоне на 200 м² → 139.58 м²; уточнить по РП</t>
  </si>
  <si>
    <t xml:space="preserve">8 в салоне на 200 м² → 139.58 м²; уточнить по РП</t>
  </si>
  <si>
    <t xml:space="preserve">30 в салоне на 200 м² → 139.58 м²; уточнить по РП</t>
  </si>
  <si>
    <t xml:space="preserve">10 в салоне на 200 м² → 139.58 м²; уточнить по РП</t>
  </si>
  <si>
    <t xml:space="preserve">11 в салоне на 200 м² → 139.58 м²; уточнить по РП</t>
  </si>
  <si>
    <t xml:space="preserve">12 в салоне на 200 м² → 139.58 м²; уточнить по РП</t>
  </si>
  <si>
    <t xml:space="preserve">4 в салоне на 200 м² → 139.58 м²; уточнить по РП</t>
  </si>
  <si>
    <t xml:space="preserve">Вывод UTP для камеры</t>
  </si>
  <si>
    <t xml:space="preserve">9 в салоне на 200 м² → 139.58 м²; уточнить по РП</t>
  </si>
  <si>
    <t xml:space="preserve">2 в салоне на 200 м² → 139.58 м²; уточнить по РП</t>
  </si>
  <si>
    <t xml:space="preserve">секции 4×1, 18×1 (санузлы/подсобки)</t>
  </si>
  <si>
    <t xml:space="preserve">НП-2 Резиновое покрытие</t>
  </si>
  <si>
    <t xml:space="preserve">тренажёрный зал</t>
  </si>
  <si>
    <t xml:space="preserve">НП-1 Перекрытие (покрытие не определено)</t>
  </si>
  <si>
    <t xml:space="preserve">финишное покрытие уточнить — цена не задана</t>
  </si>
  <si>
    <t xml:space="preserve">Покраска стен От-</t>
  </si>
  <si>
    <t xml:space="preserve">Окраска потолка чёрная</t>
  </si>
  <si>
    <t xml:space="preserve">чёрная краска — цена может быть выше</t>
  </si>
  <si>
    <t xml:space="preserve">Плитка настенная От-</t>
  </si>
  <si>
    <t xml:space="preserve">Зеркала настенные От-</t>
  </si>
  <si>
    <t xml:space="preserve">Сетка От-</t>
  </si>
  <si>
    <t xml:space="preserve">что за сетка — уточнить по РП</t>
  </si>
  <si>
    <t xml:space="preserve">Ип-1…Ип-7: тумбы ×3, скамья, локеры, стойка ресепшн, диван</t>
  </si>
  <si>
    <t xml:space="preserve">изготовление/подбор — цены нет</t>
  </si>
  <si>
    <t xml:space="preserve">Офис — 3 этаж (185,66 м², РП insidroom «Office Navoi»)</t>
  </si>
  <si>
    <t xml:space="preserve">Офис. Стеклянные перегородки: стекло 10 мм прозрачное закалённое с пескоструйной обработкой</t>
  </si>
  <si>
    <t xml:space="preserve">77 м² перегородок + 5 распашных дверей 800–900</t>
  </si>
  <si>
    <t xml:space="preserve">КП Imzo (вариант 2)</t>
  </si>
  <si>
    <t xml:space="preserve">выбранный вариант 2</t>
  </si>
  <si>
    <t xml:space="preserve">НП1 Керамогранит 1200×600</t>
  </si>
  <si>
    <t xml:space="preserve">НП3 Керамогранит 600×600</t>
  </si>
  <si>
    <t xml:space="preserve">НП2 покрытие вместо линолеума (под тёплый пол)</t>
  </si>
  <si>
    <t xml:space="preserve">по РП (переопределить)</t>
  </si>
  <si>
    <t xml:space="preserve">линолеум отменён — покрытие и цена не выбраны</t>
  </si>
  <si>
    <t xml:space="preserve">секции 20×5, 18, 16, 5</t>
  </si>
  <si>
    <t xml:space="preserve">в РП есть только обозначение термостата</t>
  </si>
  <si>
    <t xml:space="preserve">предп. (аналог салона)</t>
  </si>
  <si>
    <t xml:space="preserve">1 С/У; уточнить по РП</t>
  </si>
  <si>
    <t xml:space="preserve">С/У</t>
  </si>
  <si>
    <t xml:space="preserve">Мойка кухонная 450×450</t>
  </si>
  <si>
    <t xml:space="preserve">мини-кухня</t>
  </si>
  <si>
    <t xml:space="preserve">если в офисе есть кухня</t>
  </si>
  <si>
    <t xml:space="preserve">предп. (аналог салона ×0.93)</t>
  </si>
  <si>
    <t xml:space="preserve">105 в салоне на 200 м² → 185.66 м²; уточнить по РП</t>
  </si>
  <si>
    <t xml:space="preserve">8 в салоне на 200 м² → 185.66 м²; уточнить по РП</t>
  </si>
  <si>
    <t xml:space="preserve">30 в салоне на 200 м² → 185.66 м²; уточнить по РП</t>
  </si>
  <si>
    <t xml:space="preserve">10 в салоне на 200 м² → 185.66 м²; уточнить по РП</t>
  </si>
  <si>
    <t xml:space="preserve">11 в салоне на 200 м² → 185.66 м²; уточнить по РП</t>
  </si>
  <si>
    <t xml:space="preserve">12 в салоне на 200 м² → 185.66 м²; уточнить по РП</t>
  </si>
  <si>
    <t xml:space="preserve">4 в салоне на 200 м² → 185.66 м²; уточнить по РП</t>
  </si>
  <si>
    <t xml:space="preserve">9 в салоне на 200 м² → 185.66 м²; уточнить по РП</t>
  </si>
  <si>
    <t xml:space="preserve">2 в салоне на 200 м² → 185.66 м²; уточнить по РП</t>
  </si>
  <si>
    <t xml:space="preserve">101 в салоне на 200 м² → 185.66 м²; уточнить по РП</t>
  </si>
  <si>
    <t xml:space="preserve">66 в салоне на 200 м² → 185.66 м²; уточнить по РП</t>
  </si>
  <si>
    <t xml:space="preserve">50 в салоне на 200 м² → 185.66 м²; уточнить по РП</t>
  </si>
  <si>
    <t xml:space="preserve">20 в салоне на 200 м² → 185.66 м²; уточнить по РП</t>
  </si>
  <si>
    <t xml:space="preserve">Теневой плинтус с LED</t>
  </si>
  <si>
    <t xml:space="preserve">зависит от дизайна — под вопросом</t>
  </si>
  <si>
    <t xml:space="preserve">102 в салоне на 200 м² → 185.66 м²; уточнить по РП</t>
  </si>
  <si>
    <t xml:space="preserve">290 в салоне на 200 м² → 185.66 м²; уточнить по РП</t>
  </si>
  <si>
    <t xml:space="preserve">350 в салоне на 200 м² → 185.66 м²; уточнить по РП</t>
  </si>
  <si>
    <t xml:space="preserve">Терраса — «РП Navoi Terrace» (227,5 м² обмер / 209,87 м² проект)</t>
  </si>
  <si>
    <t xml:space="preserve">Терраса. Раздвижная система остекления Imzo: алюминиевый профиль, раздвижные створки, щёточный уплотнитель («шотландка») 18 мм. Комплект с фурнитурой</t>
  </si>
  <si>
    <t xml:space="preserve">83 м² + раздвижная дверь</t>
  </si>
  <si>
    <t xml:space="preserve">Фасад. Фасадное (витражное) остекление здания</t>
  </si>
  <si>
    <t xml:space="preserve">227 м²; +1 500 000 за каждое открывание</t>
  </si>
  <si>
    <t xml:space="preserve">по зданию, отнесено к террасе условно</t>
  </si>
  <si>
    <t xml:space="preserve">в пределах 50 м²</t>
  </si>
  <si>
    <t xml:space="preserve">по решению Тимура</t>
  </si>
  <si>
    <t xml:space="preserve">секции подобрать</t>
  </si>
  <si>
    <t xml:space="preserve">~3 секции по 20 м²</t>
  </si>
  <si>
    <t xml:space="preserve">санузел 4,14 м²</t>
  </si>
  <si>
    <t xml:space="preserve">уточнить по РП</t>
  </si>
  <si>
    <t xml:space="preserve">Кафель 1200×1200 (аналог салона)</t>
  </si>
  <si>
    <t xml:space="preserve">холл 104,78 + терраса 77,33 м²; на открытой террасе — другой материал!</t>
  </si>
  <si>
    <t xml:space="preserve">предп. (аналог салона ×1.05)</t>
  </si>
  <si>
    <t xml:space="preserve">140 в салоне → 210 м²; уточнить по РП</t>
  </si>
  <si>
    <t xml:space="preserve">105 в салоне на 200 м² → 209.87 м²; уточнить по РП</t>
  </si>
  <si>
    <t xml:space="preserve">8 в салоне на 200 м² → 209.87 м²; уточнить по РП</t>
  </si>
  <si>
    <t xml:space="preserve">30 в салоне на 200 м² → 209.87 м²; уточнить по РП</t>
  </si>
  <si>
    <t xml:space="preserve">10 в салоне на 200 м² → 209.87 м²; уточнить по РП</t>
  </si>
  <si>
    <t xml:space="preserve">11 в салоне на 200 м² → 209.87 м²; уточнить по РП</t>
  </si>
  <si>
    <t xml:space="preserve">12 в салоне на 200 м² → 209.87 м²; уточнить по РП</t>
  </si>
  <si>
    <t xml:space="preserve">4 в салоне на 200 м² → 209.87 м²; уточнить по РП</t>
  </si>
  <si>
    <t xml:space="preserve">9 в салоне на 200 м² → 209.87 м²; уточнить по РП</t>
  </si>
  <si>
    <t xml:space="preserve">2 в салоне на 200 м² → 209.87 м²; уточнить по РП</t>
  </si>
  <si>
    <t xml:space="preserve">101 в салоне на 200 м² → 209.87 м²; уточнить по РП</t>
  </si>
  <si>
    <t xml:space="preserve">66 в салоне на 200 м² → 209.87 м²; уточнить по РП</t>
  </si>
  <si>
    <t xml:space="preserve">50 в салоне на 200 м² → 209.87 м²; уточнить по РП</t>
  </si>
  <si>
    <t xml:space="preserve">20 в салоне на 200 м² → 209.87 м²; уточнить по РП</t>
  </si>
  <si>
    <t xml:space="preserve">102 в салоне на 200 м² → 209.87 м²; уточнить по РП</t>
  </si>
  <si>
    <t xml:space="preserve">290 в салоне на 200 м² → 209.87 м²; уточнить по РП</t>
  </si>
  <si>
    <t xml:space="preserve">350 в салоне на 200 м² → 209.87 м²; уточнить по РП</t>
  </si>
  <si>
    <t xml:space="preserve">Чего не хватает, чтобы закрыть цены по этажам</t>
  </si>
  <si>
    <t xml:space="preserve">Этаж</t>
  </si>
  <si>
    <t xml:space="preserve">Что нужно</t>
  </si>
  <si>
    <t xml:space="preserve">Откуда взять</t>
  </si>
  <si>
    <t xml:space="preserve">Закрыто</t>
  </si>
  <si>
    <t xml:space="preserve">Решить систему трека (48V) и подтвердить 101 спот / 66 п.м.</t>
  </si>
  <si>
    <t xml:space="preserve">РП салона л.8 + поставщик</t>
  </si>
  <si>
    <t xml:space="preserve">Метраж лент по контурам и в мебели — снято с плана, но не подтверждено</t>
  </si>
  <si>
    <t xml:space="preserve">план л.10</t>
  </si>
  <si>
    <t xml:space="preserve">Мебель / флорариумы / перегородки / ГКЛ</t>
  </si>
  <si>
    <t xml:space="preserve">Цены изготовления — запрос мебельщику и ГКЛ-бригаде</t>
  </si>
  <si>
    <t xml:space="preserve">КП</t>
  </si>
  <si>
    <t xml:space="preserve">частично — заложены ориентиры ±30 %, нужны КП</t>
  </si>
  <si>
    <t xml:space="preserve">Краска в файле 18,45 млн (25 000 + 32 000 за м²), устно было 16 банок × 750 000 = 12 млн — свести к одной цифре</t>
  </si>
  <si>
    <t xml:space="preserve">выкрасы / поставщик</t>
  </si>
  <si>
    <t xml:space="preserve">Состав С-1…С-12 полностью (в файле 2 душа, 3 раковины, 2 унитаза, 3 зеркала — остальное предположено)</t>
  </si>
  <si>
    <t xml:space="preserve">РП -1 этаж, лист сантехники</t>
  </si>
  <si>
    <t xml:space="preserve">Сейчас — аналог салона ×0,70. Заменить на подсчёт по листу силовых сетей</t>
  </si>
  <si>
    <t xml:space="preserve">РП -1 этаж</t>
  </si>
  <si>
    <t xml:space="preserve">Финишное покрытие НП-1 (73,64 м²)</t>
  </si>
  <si>
    <t xml:space="preserve">дизайнер</t>
  </si>
  <si>
    <t xml:space="preserve">Что такое «сетка» От- (53,9 м²) — материал и цена</t>
  </si>
  <si>
    <t xml:space="preserve">РП / дизайнер</t>
  </si>
  <si>
    <t xml:space="preserve">Электрика / освещение / сантехника</t>
  </si>
  <si>
    <t xml:space="preserve">Сейчас — аналог салона ×0,93. Заменить на подсчёт по РП «Office Navoi»</t>
  </si>
  <si>
    <t xml:space="preserve">РП 3 этаж</t>
  </si>
  <si>
    <t xml:space="preserve">Покрытие вместо линолеума на 130 м² под тёплый пол</t>
  </si>
  <si>
    <t xml:space="preserve">Электрика / освещение / сантехника / полы</t>
  </si>
  <si>
    <t xml:space="preserve">Сейчас — аналог салона ×1,05. Открытая часть (77 м²) — другой свет, другой пол, влагозащита</t>
  </si>
  <si>
    <t xml:space="preserve">РП «Navoi Terrace»</t>
  </si>
  <si>
    <t xml:space="preserve">50 м² — в каких помещениях, разбить на секции</t>
  </si>
  <si>
    <t xml:space="preserve">Тимур</t>
  </si>
  <si>
    <t xml:space="preserve">Здание</t>
  </si>
  <si>
    <t xml:space="preserve">Инженерка</t>
  </si>
  <si>
    <t xml:space="preserve">СКС и видео — КП без сумм в файле; вентиляция — договор от 26.08.2026; лифт — ничего</t>
  </si>
  <si>
    <t xml:space="preserve">папка Bussines centre</t>
  </si>
  <si>
    <t xml:space="preserve">Маникюрные столы М11: в спецификации 1, на плане 6 — подтвердить у дизайнера и мебельщика</t>
  </si>
  <si>
    <t xml:space="preserve">РП л.2/л.3 + дизайнер</t>
  </si>
  <si>
    <t xml:space="preserve">Смесителей 12 (2+4+4+2), раковин 8 — 4 накладных смесителя №2 без раковин. Где они стоят и какие раковины (кухня М6 топ-мастера 1?)</t>
  </si>
  <si>
    <t xml:space="preserve">дизайнер INSIDROOM</t>
  </si>
  <si>
    <t xml:space="preserve">143 механизма (8+30+105) против 124 постов в рамках (10+22+24+48+20) — либо рамок не хватает, либо 19 розеток в столах/блоках посчитаны дважды</t>
  </si>
  <si>
    <t xml:space="preserve">РП л.13</t>
  </si>
  <si>
    <t xml:space="preserve">Розетки в маникюрных столах: 16 или 32 (метка «8 розеток в столе!» на ряд или на стол?)</t>
  </si>
  <si>
    <t xml:space="preserve">РП л.13 + дизайнер</t>
  </si>
  <si>
    <t xml:space="preserve">Ф5/Ф6: по л.20 Ф5=1100/Ф6=600, по развёрткам л.28 наоборот. Ф1 стоит в С/У, а не у топ-мастера 1</t>
  </si>
  <si>
    <t xml:space="preserve">РП л.17/20/28</t>
  </si>
  <si>
    <t xml:space="preserve">Подвесная конструкция: на л.9 — ЛДСП, на л.8/11 — МДФ. Материал и цена изготовления</t>
  </si>
  <si>
    <t xml:space="preserve">дизайнер / мебельщик</t>
  </si>
  <si>
    <t xml:space="preserve">Краска 32 000/м² — это краска; на л.21 упомянута «штукатурка» → если декоративная, цена ×4–6</t>
  </si>
  <si>
    <t xml:space="preserve">Спецификации дверей в РП нет: ~10 проёмов h=2200, тип (скрытый монтаж?), материал</t>
  </si>
  <si>
    <t xml:space="preserve">Кафель 140 шт = 201,6 м² — без запаса, хотя «+10 %» заявлен; заложено +15 шт отдельной строкой</t>
  </si>
  <si>
    <t xml:space="preserve">Столешницы (камень/ЛДСП) для М6, М10, М14, тумбы С/У, ниш в поддонах — в спецификации нет; в прайсе кухня посчитана со столешницей ЛДСП</t>
  </si>
  <si>
    <t xml:space="preserve">мебельщик</t>
  </si>
  <si>
    <t xml:space="preserve">У заказчика 4 ТВ (зал, педикюр, кабинет, ВИП) — в РП 2 вывода. Добавить 2 в кабинетах</t>
  </si>
  <si>
    <t xml:space="preserve">заказчик / РП л.11</t>
  </si>
  <si>
    <t xml:space="preserve">Оборудование на место: машинка с вытяжкой + LED-сушка + лампа + вентилятор = 4 прибора → 32 розетки в столах зала, 8 в кабинетах. Проверить мощность линий</t>
  </si>
  <si>
    <t xml:space="preserve">список заказчика</t>
  </si>
  <si>
    <t xml:space="preserve">Педикюр: 5 вытяжек 4Blanc на стойке + 5 ламп на стойке при 3 креслах (электро) — во внутрипольных блоках 8 розеток на всё. Мало?</t>
  </si>
  <si>
    <t xml:space="preserve">список заказчика / РП л.13</t>
  </si>
  <si>
    <t xml:space="preserve">Зеркало с подсветкой 2000×800 в зале и зеркало в С/У — выводы питания в РП не предусмотрены</t>
  </si>
  <si>
    <t xml:space="preserve">Обеденный стол: 08.09 «куплен», в списке 09.09 «заказ 1800×1000». Стулья клиентов: 08.09 «считаем», в списке — «закуп». Свести</t>
  </si>
  <si>
    <t xml:space="preserve">Тимур / заказчик</t>
  </si>
  <si>
    <t xml:space="preserve">Нет у заказчика: шкаф в курилке М4, шкаф над инсталляцией М8, гарнитур в кабинете М6, пуфы ×3 — делаем или нет?</t>
  </si>
  <si>
    <t xml:space="preserve">заказчик</t>
  </si>
  <si>
    <t xml:space="preserve">Кухня в персоналке 2400 + полка — в спецификации РП отсутствует, в списке заказчика есть (заказ)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</si>
</sst>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.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6E0B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7"/>
    <col collapsed="false" customWidth="true" hidden="false" outlineLevel="0" max="6" min="6" style="1" width="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f aca="false">SUMIF(Салон!$B$5:$B$200,$A5,Салон!$J$5:$J$200)</f>
        <v>23100000</v>
      </c>
      <c r="C5" s="6" t="n">
        <f aca="false">SUMIF(Фитнес!$B$5:$B$60,$A5,Фитнес!$J$5:$J$60)</f>
        <v>35500000</v>
      </c>
      <c r="D5" s="6" t="n">
        <f aca="false">SUMIF(Офис!$B$5:$B$60,$A5,Офис!$J$5:$J$60)</f>
        <v>11400000</v>
      </c>
      <c r="E5" s="6" t="n">
        <f aca="false">SUMIF(Терраса!$B$5:$B$60,$A5,Терраса!$J$5:$J$60)</f>
        <v>9300000</v>
      </c>
      <c r="F5" s="7" t="n">
        <f aca="false">SUM(B5:E5)</f>
        <v>79300000</v>
      </c>
    </row>
    <row r="6" customFormat="false" ht="15" hidden="false" customHeight="true" outlineLevel="0" collapsed="false">
      <c r="A6" s="5" t="s">
        <v>9</v>
      </c>
      <c r="B6" s="6" t="n">
        <f aca="false">SUMIF(Салон!$B$5:$B$200,$A6,Салон!$J$5:$J$200)</f>
        <v>28509150</v>
      </c>
      <c r="C6" s="6" t="n">
        <f aca="false">SUMIF(Фитнес!$B$5:$B$60,$A6,Фитнес!$J$5:$J$60)</f>
        <v>28670000</v>
      </c>
      <c r="D6" s="6" t="n">
        <f aca="false">SUMIF(Офис!$B$5:$B$60,$A6,Офис!$J$5:$J$60)</f>
        <v>18590000</v>
      </c>
      <c r="E6" s="6" t="n">
        <f aca="false">SUMIF(Терраса!$B$5:$B$60,$A6,Терраса!$J$5:$J$60)</f>
        <v>20960000</v>
      </c>
      <c r="F6" s="7" t="n">
        <f aca="false">SUM(B6:E6)</f>
        <v>96729150</v>
      </c>
    </row>
    <row r="7" customFormat="false" ht="15" hidden="false" customHeight="true" outlineLevel="0" collapsed="false">
      <c r="A7" s="5" t="s">
        <v>10</v>
      </c>
      <c r="B7" s="6" t="n">
        <f aca="false">SUMIF(Салон!$B$5:$B$200,$A7,Салон!$J$5:$J$200)</f>
        <v>30272800</v>
      </c>
      <c r="C7" s="6" t="n">
        <f aca="false">SUMIF(Фитнес!$B$5:$B$60,$A7,Фитнес!$J$5:$J$60)</f>
        <v>0</v>
      </c>
      <c r="D7" s="6" t="n">
        <f aca="false">SUMIF(Офис!$B$5:$B$60,$A7,Офис!$J$5:$J$60)</f>
        <v>20900000</v>
      </c>
      <c r="E7" s="6" t="n">
        <f aca="false">SUMIF(Терраса!$B$5:$B$60,$A7,Терраса!$J$5:$J$60)</f>
        <v>23540000</v>
      </c>
      <c r="F7" s="7" t="n">
        <f aca="false">SUM(B7:E7)</f>
        <v>74712800</v>
      </c>
    </row>
    <row r="8" customFormat="false" ht="15" hidden="false" customHeight="true" outlineLevel="0" collapsed="false">
      <c r="A8" s="5" t="s">
        <v>11</v>
      </c>
      <c r="B8" s="6" t="n">
        <f aca="false">SUMIF(Салон!$B$5:$B$200,$A8,Салон!$J$5:$J$200)</f>
        <v>22210000</v>
      </c>
      <c r="C8" s="6" t="n">
        <f aca="false">SUMIF(Фитнес!$B$5:$B$60,$A8,Фитнес!$J$5:$J$60)</f>
        <v>10465000</v>
      </c>
      <c r="D8" s="6" t="n">
        <f aca="false">SUMIF(Офис!$B$5:$B$60,$A8,Офис!$J$5:$J$60)</f>
        <v>13635000</v>
      </c>
      <c r="E8" s="6" t="n">
        <f aca="false">SUMIF(Терраса!$B$5:$B$60,$A8,Терраса!$J$5:$J$60)</f>
        <v>15700000</v>
      </c>
      <c r="F8" s="7" t="n">
        <f aca="false">SUM(B8:E8)</f>
        <v>62010000</v>
      </c>
    </row>
    <row r="9" customFormat="false" ht="15" hidden="false" customHeight="true" outlineLevel="0" collapsed="false">
      <c r="A9" s="5" t="s">
        <v>12</v>
      </c>
      <c r="B9" s="6" t="n">
        <f aca="false">SUMIF(Салон!$B$5:$B$200,$A9,Салон!$J$5:$J$200)</f>
        <v>37301880</v>
      </c>
      <c r="C9" s="6" t="n">
        <f aca="false">SUMIF(Фитнес!$B$5:$B$60,$A9,Фитнес!$J$5:$J$60)</f>
        <v>9919540</v>
      </c>
      <c r="D9" s="6" t="n">
        <f aca="false">SUMIF(Офис!$B$5:$B$60,$A9,Офис!$J$5:$J$60)</f>
        <v>61050730</v>
      </c>
      <c r="E9" s="6" t="n">
        <f aca="false">SUMIF(Терраса!$B$5:$B$60,$A9,Терраса!$J$5:$J$60)</f>
        <v>22003500</v>
      </c>
      <c r="F9" s="7" t="n">
        <f aca="false">SUM(B9:E9)</f>
        <v>130275650</v>
      </c>
    </row>
    <row r="10" customFormat="false" ht="15" hidden="false" customHeight="true" outlineLevel="0" collapsed="false">
      <c r="A10" s="5" t="s">
        <v>13</v>
      </c>
      <c r="B10" s="6" t="n">
        <f aca="false">SUMIF(Салон!$B$5:$B$200,$A10,Салон!$J$5:$J$200)</f>
        <v>61225000</v>
      </c>
      <c r="C10" s="6" t="n">
        <f aca="false">SUMIF(Фитнес!$B$5:$B$60,$A10,Фитнес!$J$5:$J$60)</f>
        <v>20671000</v>
      </c>
      <c r="D10" s="6" t="n">
        <f aca="false">SUMIF(Офис!$B$5:$B$60,$A10,Офис!$J$5:$J$60)</f>
        <v>11956800</v>
      </c>
      <c r="E10" s="6" t="n">
        <f aca="false">SUMIF(Терраса!$B$5:$B$60,$A10,Терраса!$J$5:$J$60)</f>
        <v>58065000</v>
      </c>
      <c r="F10" s="7" t="n">
        <f aca="false">SUM(B10:E10)</f>
        <v>151917800</v>
      </c>
    </row>
    <row r="11" customFormat="false" ht="15" hidden="false" customHeight="true" outlineLevel="0" collapsed="false">
      <c r="A11" s="5" t="s">
        <v>14</v>
      </c>
      <c r="B11" s="6" t="n">
        <f aca="false">SUMIF(Салон!$B$5:$B$200,$A11,Салон!$J$5:$J$200)</f>
        <v>43286000</v>
      </c>
      <c r="C11" s="6" t="n">
        <f aca="false">SUMIF(Фитнес!$B$5:$B$60,$A11,Фитнес!$J$5:$J$60)</f>
        <v>42365100</v>
      </c>
      <c r="D11" s="6" t="n">
        <f aca="false">SUMIF(Офис!$B$5:$B$60,$A11,Офис!$J$5:$J$60)</f>
        <v>17125000</v>
      </c>
      <c r="E11" s="6" t="n">
        <f aca="false">SUMIF(Терраса!$B$5:$B$60,$A11,Терраса!$J$5:$J$60)</f>
        <v>19344000</v>
      </c>
      <c r="F11" s="7" t="n">
        <f aca="false">SUM(B11:E11)</f>
        <v>122120100</v>
      </c>
    </row>
    <row r="12" customFormat="false" ht="15" hidden="false" customHeight="true" outlineLevel="0" collapsed="false">
      <c r="A12" s="5" t="s">
        <v>15</v>
      </c>
      <c r="B12" s="6" t="n">
        <f aca="false">SUMIF(Салон!$B$5:$B$200,$A12,Салон!$J$5:$J$200)</f>
        <v>5040000</v>
      </c>
      <c r="C12" s="6" t="n">
        <f aca="false">SUMIF(Фитнес!$B$5:$B$60,$A12,Фитнес!$J$5:$J$60)</f>
        <v>0</v>
      </c>
      <c r="D12" s="6" t="n">
        <f aca="false">SUMIF(Офис!$B$5:$B$60,$A12,Офис!$J$5:$J$60)</f>
        <v>0</v>
      </c>
      <c r="E12" s="6" t="n">
        <f aca="false">SUMIF(Терраса!$B$5:$B$60,$A12,Терраса!$J$5:$J$60)</f>
        <v>0</v>
      </c>
      <c r="F12" s="7" t="n">
        <f aca="false">SUM(B12:E12)</f>
        <v>5040000</v>
      </c>
    </row>
    <row r="13" customFormat="false" ht="15" hidden="false" customHeight="true" outlineLevel="0" collapsed="false">
      <c r="A13" s="5" t="s">
        <v>16</v>
      </c>
      <c r="B13" s="6" t="n">
        <f aca="false">SUMIF(Салон!$B$5:$B$200,$A13,Салон!$J$5:$J$200)</f>
        <v>5900000</v>
      </c>
      <c r="C13" s="6" t="n">
        <f aca="false">SUMIF(Фитнес!$B$5:$B$60,$A13,Фитнес!$J$5:$J$60)</f>
        <v>0</v>
      </c>
      <c r="D13" s="6" t="n">
        <f aca="false">SUMIF(Офис!$B$5:$B$60,$A13,Офис!$J$5:$J$60)</f>
        <v>40500000</v>
      </c>
      <c r="E13" s="6" t="n">
        <f aca="false">SUMIF(Терраса!$B$5:$B$60,$A13,Терраса!$J$5:$J$60)</f>
        <v>284000000</v>
      </c>
      <c r="F13" s="7" t="n">
        <f aca="false">SUM(B13:E13)</f>
        <v>330400000</v>
      </c>
    </row>
    <row r="14" customFormat="false" ht="15" hidden="false" customHeight="true" outlineLevel="0" collapsed="false">
      <c r="A14" s="5" t="s">
        <v>17</v>
      </c>
      <c r="B14" s="6" t="n">
        <f aca="false">SUMIF(Салон!$B$5:$B$200,$A14,Салон!$J$5:$J$200)</f>
        <v>150570000</v>
      </c>
      <c r="C14" s="6" t="n">
        <f aca="false">SUMIF(Фитнес!$B$5:$B$60,$A14,Фитнес!$J$5:$J$60)</f>
        <v>0</v>
      </c>
      <c r="D14" s="6" t="n">
        <f aca="false">SUMIF(Офис!$B$5:$B$60,$A14,Офис!$J$5:$J$60)</f>
        <v>0</v>
      </c>
      <c r="E14" s="6" t="n">
        <f aca="false">SUMIF(Терраса!$B$5:$B$60,$A14,Терраса!$J$5:$J$60)</f>
        <v>0</v>
      </c>
      <c r="F14" s="7" t="n">
        <f aca="false">SUM(B14:E14)</f>
        <v>150570000</v>
      </c>
    </row>
    <row r="15" customFormat="false" ht="15" hidden="false" customHeight="true" outlineLevel="0" collapsed="false">
      <c r="A15" s="5" t="s">
        <v>18</v>
      </c>
      <c r="B15" s="6" t="n">
        <f aca="false">SUMIF(Салон!$B$5:$B$200,$A15,Салон!$J$5:$J$200)</f>
        <v>0</v>
      </c>
      <c r="C15" s="6" t="n">
        <f aca="false">SUMIF(Фитнес!$B$5:$B$60,$A15,Фитнес!$J$5:$J$60)</f>
        <v>0</v>
      </c>
      <c r="D15" s="6" t="n">
        <f aca="false">SUMIF(Офис!$B$5:$B$60,$A15,Офис!$J$5:$J$60)</f>
        <v>0</v>
      </c>
      <c r="E15" s="6" t="n">
        <f aca="false">SUMIF(Терраса!$B$5:$B$60,$A15,Терраса!$J$5:$J$60)</f>
        <v>0</v>
      </c>
      <c r="F15" s="7" t="n">
        <f aca="false">SUM(B15:E15)</f>
        <v>0</v>
      </c>
    </row>
    <row r="16" customFormat="false" ht="15" hidden="false" customHeight="true" outlineLevel="0" collapsed="false">
      <c r="A16" s="5" t="s">
        <v>19</v>
      </c>
      <c r="B16" s="6" t="n">
        <f aca="false">SUMIF(Салон!$B$5:$B$200,$A16,Салон!$J$5:$J$200)</f>
        <v>5400000</v>
      </c>
      <c r="C16" s="6" t="n">
        <f aca="false">SUMIF(Фитнес!$B$5:$B$60,$A16,Фитнес!$J$5:$J$60)</f>
        <v>0</v>
      </c>
      <c r="D16" s="6" t="n">
        <f aca="false">SUMIF(Офис!$B$5:$B$60,$A16,Офис!$J$5:$J$60)</f>
        <v>0</v>
      </c>
      <c r="E16" s="6" t="n">
        <f aca="false">SUMIF(Терраса!$B$5:$B$60,$A16,Терраса!$J$5:$J$60)</f>
        <v>0</v>
      </c>
      <c r="F16" s="7" t="n">
        <f aca="false">SUM(B16:E16)</f>
        <v>5400000</v>
      </c>
    </row>
    <row r="17" customFormat="false" ht="15" hidden="false" customHeight="true" outlineLevel="0" collapsed="false">
      <c r="A17" s="5" t="s">
        <v>20</v>
      </c>
      <c r="B17" s="6" t="n">
        <f aca="false">SUMIF(Салон!$B$5:$B$200,$A17,Салон!$J$5:$J$200)</f>
        <v>0</v>
      </c>
      <c r="C17" s="6" t="n">
        <f aca="false">SUMIF(Фитнес!$B$5:$B$60,$A17,Фитнес!$J$5:$J$60)</f>
        <v>0</v>
      </c>
      <c r="D17" s="6" t="n">
        <f aca="false">SUMIF(Офис!$B$5:$B$60,$A17,Офис!$J$5:$J$60)</f>
        <v>0</v>
      </c>
      <c r="E17" s="6" t="n">
        <f aca="false">SUMIF(Терраса!$B$5:$B$60,$A17,Терраса!$J$5:$J$60)</f>
        <v>0</v>
      </c>
      <c r="F17" s="7" t="n">
        <f aca="false">SUM(B17:E17)</f>
        <v>0</v>
      </c>
    </row>
    <row r="18" customFormat="false" ht="15" hidden="false" customHeight="true" outlineLevel="0" collapsed="false">
      <c r="A18" s="5" t="s">
        <v>21</v>
      </c>
      <c r="B18" s="6" t="n">
        <f aca="false">SUMIF(Салон!$B$5:$B$200,$A18,Салон!$J$5:$J$200)</f>
        <v>55720000</v>
      </c>
      <c r="C18" s="6" t="n">
        <f aca="false">SUMIF(Фитнес!$B$5:$B$60,$A18,Фитнес!$J$5:$J$60)</f>
        <v>0</v>
      </c>
      <c r="D18" s="6" t="n">
        <f aca="false">SUMIF(Офис!$B$5:$B$60,$A18,Офис!$J$5:$J$60)</f>
        <v>0</v>
      </c>
      <c r="E18" s="6" t="n">
        <f aca="false">SUMIF(Терраса!$B$5:$B$60,$A18,Терраса!$J$5:$J$60)</f>
        <v>0</v>
      </c>
      <c r="F18" s="7" t="n">
        <f aca="false">SUM(B18:E18)</f>
        <v>55720000</v>
      </c>
    </row>
    <row r="19" customFormat="false" ht="15" hidden="false" customHeight="true" outlineLevel="0" collapsed="false">
      <c r="A19" s="5" t="s">
        <v>22</v>
      </c>
      <c r="B19" s="6" t="n">
        <f aca="false">SUMIF(Салон!$B$5:$B$200,$A19,Салон!$J$5:$J$200)</f>
        <v>14220000</v>
      </c>
      <c r="C19" s="6" t="n">
        <f aca="false">SUMIF(Фитнес!$B$5:$B$60,$A19,Фитнес!$J$5:$J$60)</f>
        <v>0</v>
      </c>
      <c r="D19" s="6" t="n">
        <f aca="false">SUMIF(Офис!$B$5:$B$60,$A19,Офис!$J$5:$J$60)</f>
        <v>0</v>
      </c>
      <c r="E19" s="6" t="n">
        <f aca="false">SUMIF(Терраса!$B$5:$B$60,$A19,Терраса!$J$5:$J$60)</f>
        <v>0</v>
      </c>
      <c r="F19" s="7" t="n">
        <f aca="false">SUM(B19:E19)</f>
        <v>14220000</v>
      </c>
    </row>
    <row r="20" customFormat="false" ht="15" hidden="false" customHeight="true" outlineLevel="0" collapsed="false">
      <c r="A20" s="5" t="s">
        <v>23</v>
      </c>
      <c r="B20" s="6" t="n">
        <f aca="false">SUMIF(Салон!$B$5:$B$200,$A20,Салон!$J$5:$J$200)</f>
        <v>8900000</v>
      </c>
      <c r="C20" s="6" t="n">
        <f aca="false">SUMIF(Фитнес!$B$5:$B$60,$A20,Фитнес!$J$5:$J$60)</f>
        <v>0</v>
      </c>
      <c r="D20" s="6" t="n">
        <f aca="false">SUMIF(Офис!$B$5:$B$60,$A20,Офис!$J$5:$J$60)</f>
        <v>0</v>
      </c>
      <c r="E20" s="6" t="n">
        <f aca="false">SUMIF(Терраса!$B$5:$B$60,$A20,Терраса!$J$5:$J$60)</f>
        <v>0</v>
      </c>
      <c r="F20" s="7" t="n">
        <f aca="false">SUM(B20:E20)</f>
        <v>8900000</v>
      </c>
    </row>
    <row r="21" customFormat="false" ht="15" hidden="false" customHeight="true" outlineLevel="0" collapsed="false">
      <c r="A21" s="5" t="s">
        <v>24</v>
      </c>
      <c r="B21" s="6" t="n">
        <f aca="false">SUMIF(Салон!$B$5:$B$200,$A21,Салон!$J$5:$J$200)</f>
        <v>55500000</v>
      </c>
      <c r="C21" s="6" t="n">
        <f aca="false">SUMIF(Фитнес!$B$5:$B$60,$A21,Фитнес!$J$5:$J$60)</f>
        <v>0</v>
      </c>
      <c r="D21" s="6" t="n">
        <f aca="false">SUMIF(Офис!$B$5:$B$60,$A21,Офис!$J$5:$J$60)</f>
        <v>0</v>
      </c>
      <c r="E21" s="6" t="n">
        <f aca="false">SUMIF(Терраса!$B$5:$B$60,$A21,Терраса!$J$5:$J$60)</f>
        <v>0</v>
      </c>
      <c r="F21" s="7" t="n">
        <f aca="false">SUM(B21:E21)</f>
        <v>55500000</v>
      </c>
    </row>
    <row r="22" customFormat="false" ht="15" hidden="false" customHeight="true" outlineLevel="0" collapsed="false">
      <c r="A22" s="8" t="s">
        <v>25</v>
      </c>
      <c r="B22" s="9" t="n">
        <f aca="false">SUM(B5:B21)</f>
        <v>547154830</v>
      </c>
      <c r="C22" s="9" t="n">
        <f aca="false">SUM(C5:C21)</f>
        <v>147590640</v>
      </c>
      <c r="D22" s="9" t="n">
        <f aca="false">SUM(D5:D21)</f>
        <v>195157530</v>
      </c>
      <c r="E22" s="9" t="n">
        <f aca="false">SUM(E5:E21)</f>
        <v>452912500</v>
      </c>
      <c r="F22" s="9" t="n">
        <f aca="false">SUM(F5:F21)</f>
        <v>1342815500</v>
      </c>
    </row>
    <row r="23" customFormat="false" ht="15" hidden="false" customHeight="true" outlineLevel="0" collapsed="false">
      <c r="A23" s="10"/>
    </row>
    <row r="24" customFormat="false" ht="30" hidden="false" customHeight="true" outlineLevel="0" collapsed="false">
      <c r="A24" s="10" t="s">
        <v>26</v>
      </c>
    </row>
    <row r="25" customFormat="false" ht="15" hidden="false" customHeight="true" outlineLevel="0" collapsed="false">
      <c r="A25" s="4"/>
      <c r="B25" s="4" t="s">
        <v>27</v>
      </c>
      <c r="C25" s="4" t="s">
        <v>28</v>
      </c>
      <c r="D25" s="4" t="s">
        <v>29</v>
      </c>
      <c r="E25" s="4" t="s">
        <v>6</v>
      </c>
      <c r="F25" s="4"/>
    </row>
    <row r="26" customFormat="false" ht="15" hidden="false" customHeight="true" outlineLevel="0" collapsed="false">
      <c r="A26" s="11" t="s">
        <v>30</v>
      </c>
      <c r="B26" s="11" t="n">
        <f aca="false">COUNTIF(Салон!$F$5:$F$112,"~?")</f>
        <v>0</v>
      </c>
      <c r="C26" s="11" t="n">
        <f aca="false">COUNTIF(Фитнес!$F$5:$F$42,"~?")</f>
        <v>0</v>
      </c>
      <c r="D26" s="11" t="n">
        <f aca="false">COUNTIF(Офис!$F$5:$F$36,"~?")</f>
        <v>0</v>
      </c>
      <c r="E26" s="11" t="n">
        <f aca="false">COUNTIF(Терраса!$F$5:$F$33,"~?")</f>
        <v>0</v>
      </c>
    </row>
    <row r="27" customFormat="false" ht="15" hidden="false" customHeight="true" outlineLevel="0" collapsed="false">
      <c r="A27" s="11" t="s">
        <v>31</v>
      </c>
      <c r="B27" s="11" t="n">
        <f aca="false">COUNTBLANK(Салон!$I$5:$I$112)</f>
        <v>1</v>
      </c>
      <c r="C27" s="11" t="n">
        <f aca="false">COUNTBLANK(Фитнес!$I$5:$I$42)</f>
        <v>2</v>
      </c>
      <c r="D27" s="11" t="n">
        <f aca="false">COUNTBLANK(Офис!$I$5:$I$36)</f>
        <v>1</v>
      </c>
      <c r="E27" s="11" t="n">
        <f aca="false">COUNTBLANK(Терраса!$I$5:$I$33)</f>
        <v>0</v>
      </c>
    </row>
    <row r="28" customFormat="false" ht="15" hidden="false" customHeight="true" outlineLevel="0" collapsed="false">
      <c r="A28" s="11" t="s">
        <v>32</v>
      </c>
      <c r="B28" s="11" t="n">
        <f aca="false">COUNTIF(Салон!$K$5:$K$112,"предп.*")</f>
        <v>8</v>
      </c>
      <c r="C28" s="11" t="n">
        <f aca="false">COUNTIF(Фитнес!$K$5:$K$42,"предп.*")</f>
        <v>20</v>
      </c>
      <c r="D28" s="11" t="n">
        <f aca="false">COUNTIF(Офис!$K$5:$K$36,"предп.*")</f>
        <v>27</v>
      </c>
      <c r="E28" s="11" t="n">
        <f aca="false">COUNTIF(Терраса!$K$5:$K$33,"предп.*")</f>
        <v>26</v>
      </c>
    </row>
    <row r="29" customFormat="false" ht="30" hidden="false" customHeight="true" outlineLevel="0" collapsed="false">
      <c r="A29" s="10"/>
      <c r="B29" s="12"/>
    </row>
    <row r="30" customFormat="false" ht="45" hidden="false" customHeight="true" outlineLevel="0" collapsed="false">
      <c r="A30" s="10" t="s">
        <v>33</v>
      </c>
      <c r="B30" s="13" t="s">
        <v>34</v>
      </c>
      <c r="C30" s="13"/>
      <c r="D30" s="13"/>
      <c r="E30" s="13"/>
      <c r="F30" s="13"/>
    </row>
    <row r="31" customFormat="false" ht="45" hidden="false" customHeight="true" outlineLevel="0" collapsed="false">
      <c r="A31" s="10" t="s">
        <v>35</v>
      </c>
      <c r="B31" s="13" t="s">
        <v>36</v>
      </c>
      <c r="C31" s="13"/>
      <c r="D31" s="13"/>
      <c r="E31" s="13"/>
      <c r="F31" s="13"/>
    </row>
    <row r="32" customFormat="false" ht="45" hidden="false" customHeight="true" outlineLevel="0" collapsed="false">
      <c r="A32" s="10" t="s">
        <v>37</v>
      </c>
      <c r="B32" s="13" t="s">
        <v>38</v>
      </c>
      <c r="C32" s="13"/>
      <c r="D32" s="13"/>
      <c r="E32" s="13"/>
      <c r="F32" s="13"/>
    </row>
    <row r="33" customFormat="false" ht="45" hidden="false" customHeight="true" outlineLevel="0" collapsed="false">
      <c r="A33" s="10" t="s">
        <v>16</v>
      </c>
      <c r="B33" s="13" t="s">
        <v>39</v>
      </c>
      <c r="C33" s="13"/>
      <c r="D33" s="13"/>
      <c r="E33" s="13"/>
      <c r="F33" s="13"/>
    </row>
    <row r="34" customFormat="false" ht="45" hidden="false" customHeight="true" outlineLevel="0" collapsed="false">
      <c r="A34" s="10" t="s">
        <v>40</v>
      </c>
      <c r="B34" s="13" t="s">
        <v>41</v>
      </c>
      <c r="C34" s="13"/>
      <c r="D34" s="13"/>
      <c r="E34" s="13"/>
      <c r="F34" s="13"/>
    </row>
  </sheetData>
  <mergeCells count="5">
    <mergeCell ref="B30:F30"/>
    <mergeCell ref="B31:F31"/>
    <mergeCell ref="B32:F32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48"/>
    <col collapsed="false" customWidth="true" hidden="false" outlineLevel="0" max="4" min="4" style="1" width="7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55"/>
  </cols>
  <sheetData>
    <row r="1" customFormat="false" ht="15.7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30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</row>
    <row r="5" customFormat="false" ht="15" hidden="false" customHeight="true" outlineLevel="0" collapsed="false">
      <c r="A5" s="5" t="s">
        <v>52</v>
      </c>
      <c r="B5" s="5" t="s">
        <v>8</v>
      </c>
      <c r="C5" s="5" t="s">
        <v>53</v>
      </c>
      <c r="D5" s="5" t="s">
        <v>54</v>
      </c>
      <c r="E5" s="14" t="n">
        <v>1200000</v>
      </c>
      <c r="F5" s="14"/>
      <c r="G5" s="6" t="n">
        <f aca="false">IF(ISNUMBER(F5),F5,E5)</f>
        <v>1200000</v>
      </c>
      <c r="H5" s="5" t="s">
        <v>55</v>
      </c>
    </row>
    <row r="6" customFormat="false" ht="15" hidden="false" customHeight="true" outlineLevel="0" collapsed="false">
      <c r="A6" s="5" t="s">
        <v>56</v>
      </c>
      <c r="B6" s="5" t="s">
        <v>8</v>
      </c>
      <c r="C6" s="5" t="s">
        <v>57</v>
      </c>
      <c r="D6" s="5" t="s">
        <v>54</v>
      </c>
      <c r="E6" s="14" t="n">
        <v>900000</v>
      </c>
      <c r="F6" s="14"/>
      <c r="G6" s="6" t="n">
        <f aca="false">IF(ISNUMBER(F6),F6,E6)</f>
        <v>900000</v>
      </c>
      <c r="H6" s="5" t="s">
        <v>58</v>
      </c>
    </row>
    <row r="7" customFormat="false" ht="15" hidden="false" customHeight="true" outlineLevel="0" collapsed="false">
      <c r="A7" s="5" t="s">
        <v>59</v>
      </c>
      <c r="B7" s="5" t="s">
        <v>8</v>
      </c>
      <c r="C7" s="5" t="s">
        <v>60</v>
      </c>
      <c r="D7" s="5" t="s">
        <v>54</v>
      </c>
      <c r="E7" s="14" t="n">
        <v>1500000</v>
      </c>
      <c r="F7" s="14"/>
      <c r="G7" s="6" t="n">
        <f aca="false">IF(ISNUMBER(F7),F7,E7)</f>
        <v>1500000</v>
      </c>
      <c r="H7" s="5" t="s">
        <v>58</v>
      </c>
    </row>
    <row r="8" customFormat="false" ht="15" hidden="false" customHeight="true" outlineLevel="0" collapsed="false">
      <c r="A8" s="5" t="s">
        <v>61</v>
      </c>
      <c r="B8" s="5" t="s">
        <v>8</v>
      </c>
      <c r="C8" s="5" t="s">
        <v>62</v>
      </c>
      <c r="D8" s="5" t="s">
        <v>54</v>
      </c>
      <c r="E8" s="14" t="n">
        <v>1500000</v>
      </c>
      <c r="F8" s="14"/>
      <c r="G8" s="6" t="n">
        <f aca="false">IF(ISNUMBER(F8),F8,E8)</f>
        <v>1500000</v>
      </c>
      <c r="H8" s="5" t="s">
        <v>58</v>
      </c>
    </row>
    <row r="9" customFormat="false" ht="15" hidden="false" customHeight="true" outlineLevel="0" collapsed="false">
      <c r="A9" s="5" t="s">
        <v>63</v>
      </c>
      <c r="B9" s="5" t="s">
        <v>8</v>
      </c>
      <c r="C9" s="5" t="s">
        <v>64</v>
      </c>
      <c r="D9" s="5" t="s">
        <v>54</v>
      </c>
      <c r="E9" s="14" t="n">
        <v>900000</v>
      </c>
      <c r="F9" s="14"/>
      <c r="G9" s="6" t="n">
        <f aca="false">IF(ISNUMBER(F9),F9,E9)</f>
        <v>900000</v>
      </c>
      <c r="H9" s="5" t="s">
        <v>58</v>
      </c>
    </row>
    <row r="10" customFormat="false" ht="15" hidden="false" customHeight="true" outlineLevel="0" collapsed="false">
      <c r="A10" s="5" t="s">
        <v>65</v>
      </c>
      <c r="B10" s="5" t="s">
        <v>8</v>
      </c>
      <c r="C10" s="5" t="s">
        <v>66</v>
      </c>
      <c r="D10" s="5" t="s">
        <v>54</v>
      </c>
      <c r="E10" s="14" t="n">
        <v>1300000</v>
      </c>
      <c r="F10" s="14"/>
      <c r="G10" s="6" t="n">
        <f aca="false">IF(ISNUMBER(F10),F10,E10)</f>
        <v>1300000</v>
      </c>
      <c r="H10" s="5" t="s">
        <v>58</v>
      </c>
    </row>
    <row r="11" customFormat="false" ht="15" hidden="false" customHeight="true" outlineLevel="0" collapsed="false">
      <c r="A11" s="5" t="s">
        <v>67</v>
      </c>
      <c r="B11" s="5" t="s">
        <v>8</v>
      </c>
      <c r="C11" s="5" t="s">
        <v>68</v>
      </c>
      <c r="D11" s="5" t="s">
        <v>54</v>
      </c>
      <c r="E11" s="14" t="n">
        <v>1100000</v>
      </c>
      <c r="F11" s="14"/>
      <c r="G11" s="6" t="n">
        <f aca="false">IF(ISNUMBER(F11),F11,E11)</f>
        <v>1100000</v>
      </c>
      <c r="H11" s="5" t="s">
        <v>58</v>
      </c>
    </row>
    <row r="12" customFormat="false" ht="15" hidden="false" customHeight="true" outlineLevel="0" collapsed="false">
      <c r="A12" s="5" t="s">
        <v>69</v>
      </c>
      <c r="B12" s="5" t="s">
        <v>8</v>
      </c>
      <c r="C12" s="5" t="s">
        <v>70</v>
      </c>
      <c r="D12" s="5" t="s">
        <v>54</v>
      </c>
      <c r="E12" s="14" t="n">
        <v>800000</v>
      </c>
      <c r="F12" s="14"/>
      <c r="G12" s="6" t="n">
        <f aca="false">IF(ISNUMBER(F12),F12,E12)</f>
        <v>800000</v>
      </c>
      <c r="H12" s="5" t="s">
        <v>58</v>
      </c>
    </row>
    <row r="13" customFormat="false" ht="15" hidden="false" customHeight="true" outlineLevel="0" collapsed="false">
      <c r="A13" s="5" t="s">
        <v>71</v>
      </c>
      <c r="B13" s="5" t="s">
        <v>8</v>
      </c>
      <c r="C13" s="5" t="s">
        <v>72</v>
      </c>
      <c r="D13" s="5" t="s">
        <v>54</v>
      </c>
      <c r="E13" s="14" t="n">
        <v>900000</v>
      </c>
      <c r="F13" s="14"/>
      <c r="G13" s="6" t="n">
        <f aca="false">IF(ISNUMBER(F13),F13,E13)</f>
        <v>900000</v>
      </c>
      <c r="H13" s="5" t="s">
        <v>58</v>
      </c>
    </row>
    <row r="14" customFormat="false" ht="15" hidden="false" customHeight="true" outlineLevel="0" collapsed="false">
      <c r="A14" s="5" t="s">
        <v>73</v>
      </c>
      <c r="B14" s="5" t="s">
        <v>8</v>
      </c>
      <c r="C14" s="5" t="s">
        <v>74</v>
      </c>
      <c r="D14" s="5" t="s">
        <v>54</v>
      </c>
      <c r="E14" s="14" t="n">
        <v>2500000</v>
      </c>
      <c r="F14" s="14"/>
      <c r="G14" s="6" t="n">
        <f aca="false">IF(ISNUMBER(F14),F14,E14)</f>
        <v>2500000</v>
      </c>
      <c r="H14" s="5" t="s">
        <v>58</v>
      </c>
    </row>
    <row r="15" customFormat="false" ht="15" hidden="false" customHeight="true" outlineLevel="0" collapsed="false">
      <c r="A15" s="5" t="s">
        <v>75</v>
      </c>
      <c r="B15" s="5" t="s">
        <v>8</v>
      </c>
      <c r="C15" s="5" t="s">
        <v>76</v>
      </c>
      <c r="D15" s="5" t="s">
        <v>54</v>
      </c>
      <c r="E15" s="14" t="n">
        <v>3000000</v>
      </c>
      <c r="F15" s="14"/>
      <c r="G15" s="6" t="n">
        <f aca="false">IF(ISNUMBER(F15),F15,E15)</f>
        <v>3000000</v>
      </c>
      <c r="H15" s="5" t="s">
        <v>77</v>
      </c>
    </row>
    <row r="16" customFormat="false" ht="15" hidden="false" customHeight="true" outlineLevel="0" collapsed="false">
      <c r="A16" s="5" t="s">
        <v>78</v>
      </c>
      <c r="B16" s="5" t="s">
        <v>8</v>
      </c>
      <c r="C16" s="5" t="s">
        <v>79</v>
      </c>
      <c r="D16" s="5" t="s">
        <v>54</v>
      </c>
      <c r="E16" s="14" t="n">
        <v>700000</v>
      </c>
      <c r="F16" s="14"/>
      <c r="G16" s="6" t="n">
        <f aca="false">IF(ISNUMBER(F16),F16,E16)</f>
        <v>700000</v>
      </c>
      <c r="H16" s="5" t="s">
        <v>58</v>
      </c>
    </row>
    <row r="17" customFormat="false" ht="15" hidden="false" customHeight="true" outlineLevel="0" collapsed="false">
      <c r="A17" s="5" t="s">
        <v>80</v>
      </c>
      <c r="B17" s="5" t="s">
        <v>8</v>
      </c>
      <c r="C17" s="5" t="s">
        <v>81</v>
      </c>
      <c r="D17" s="5" t="s">
        <v>54</v>
      </c>
      <c r="E17" s="14" t="n">
        <v>3500000</v>
      </c>
      <c r="F17" s="14"/>
      <c r="G17" s="6" t="n">
        <f aca="false">IF(ISNUMBER(F17),F17,E17)</f>
        <v>3500000</v>
      </c>
      <c r="H17" s="5" t="s">
        <v>82</v>
      </c>
    </row>
    <row r="18" customFormat="false" ht="15" hidden="false" customHeight="true" outlineLevel="0" collapsed="false">
      <c r="A18" s="5" t="s">
        <v>83</v>
      </c>
      <c r="B18" s="5" t="s">
        <v>8</v>
      </c>
      <c r="C18" s="5" t="s">
        <v>84</v>
      </c>
      <c r="D18" s="5" t="s">
        <v>54</v>
      </c>
      <c r="E18" s="14" t="n">
        <v>400000</v>
      </c>
      <c r="F18" s="14"/>
      <c r="G18" s="6" t="n">
        <f aca="false">IF(ISNUMBER(F18),F18,E18)</f>
        <v>400000</v>
      </c>
      <c r="H18" s="5" t="s">
        <v>58</v>
      </c>
    </row>
    <row r="19" customFormat="false" ht="15" hidden="false" customHeight="true" outlineLevel="0" collapsed="false">
      <c r="A19" s="5" t="s">
        <v>85</v>
      </c>
      <c r="B19" s="5" t="s">
        <v>8</v>
      </c>
      <c r="C19" s="5" t="s">
        <v>86</v>
      </c>
      <c r="D19" s="5" t="s">
        <v>54</v>
      </c>
      <c r="E19" s="14" t="n">
        <v>600000</v>
      </c>
      <c r="F19" s="14"/>
      <c r="G19" s="6" t="n">
        <f aca="false">IF(ISNUMBER(F19),F19,E19)</f>
        <v>600000</v>
      </c>
      <c r="H19" s="5" t="s">
        <v>58</v>
      </c>
    </row>
    <row r="20" customFormat="false" ht="15" hidden="false" customHeight="true" outlineLevel="0" collapsed="false">
      <c r="A20" s="5" t="s">
        <v>87</v>
      </c>
      <c r="B20" s="5" t="s">
        <v>8</v>
      </c>
      <c r="C20" s="5" t="s">
        <v>88</v>
      </c>
      <c r="D20" s="5" t="s">
        <v>54</v>
      </c>
      <c r="E20" s="14" t="n">
        <v>4500000</v>
      </c>
      <c r="F20" s="14"/>
      <c r="G20" s="6" t="n">
        <f aca="false">IF(ISNUMBER(F20),F20,E20)</f>
        <v>4500000</v>
      </c>
      <c r="H20" s="5" t="s">
        <v>89</v>
      </c>
    </row>
    <row r="21" customFormat="false" ht="15" hidden="false" customHeight="true" outlineLevel="0" collapsed="false">
      <c r="A21" s="5" t="s">
        <v>90</v>
      </c>
      <c r="B21" s="5" t="s">
        <v>9</v>
      </c>
      <c r="C21" s="5" t="s">
        <v>91</v>
      </c>
      <c r="D21" s="5" t="s">
        <v>54</v>
      </c>
      <c r="E21" s="14" t="n">
        <v>350000</v>
      </c>
      <c r="F21" s="14" t="n">
        <v>100000</v>
      </c>
      <c r="G21" s="6" t="n">
        <f aca="false">IF(ISNUMBER(F21),F21,E21)</f>
        <v>100000</v>
      </c>
      <c r="H21" s="5" t="s">
        <v>92</v>
      </c>
    </row>
    <row r="22" customFormat="false" ht="15" hidden="false" customHeight="true" outlineLevel="0" collapsed="false">
      <c r="A22" s="5" t="s">
        <v>93</v>
      </c>
      <c r="B22" s="5" t="s">
        <v>9</v>
      </c>
      <c r="C22" s="5" t="s">
        <v>94</v>
      </c>
      <c r="D22" s="5" t="s">
        <v>54</v>
      </c>
      <c r="E22" s="14" t="n">
        <v>300000</v>
      </c>
      <c r="F22" s="14" t="n">
        <v>80000</v>
      </c>
      <c r="G22" s="6" t="n">
        <f aca="false">IF(ISNUMBER(F22),F22,E22)</f>
        <v>80000</v>
      </c>
      <c r="H22" s="5" t="s">
        <v>95</v>
      </c>
    </row>
    <row r="23" customFormat="false" ht="15" hidden="false" customHeight="true" outlineLevel="0" collapsed="false">
      <c r="A23" s="5" t="s">
        <v>96</v>
      </c>
      <c r="B23" s="5" t="s">
        <v>9</v>
      </c>
      <c r="C23" s="5" t="s">
        <v>97</v>
      </c>
      <c r="D23" s="5" t="s">
        <v>54</v>
      </c>
      <c r="E23" s="14" t="n">
        <v>750000</v>
      </c>
      <c r="F23" s="14" t="n">
        <v>250000</v>
      </c>
      <c r="G23" s="6" t="n">
        <f aca="false">IF(ISNUMBER(F23),F23,E23)</f>
        <v>250000</v>
      </c>
      <c r="H23" s="5" t="s">
        <v>95</v>
      </c>
    </row>
    <row r="24" customFormat="false" ht="15" hidden="false" customHeight="true" outlineLevel="0" collapsed="false">
      <c r="A24" s="5" t="s">
        <v>98</v>
      </c>
      <c r="B24" s="5" t="s">
        <v>9</v>
      </c>
      <c r="C24" s="5" t="s">
        <v>99</v>
      </c>
      <c r="D24" s="5" t="s">
        <v>54</v>
      </c>
      <c r="E24" s="14" t="n">
        <v>500000</v>
      </c>
      <c r="F24" s="14" t="n">
        <v>170000</v>
      </c>
      <c r="G24" s="6" t="n">
        <f aca="false">IF(ISNUMBER(F24),F24,E24)</f>
        <v>170000</v>
      </c>
      <c r="H24" s="5" t="s">
        <v>95</v>
      </c>
    </row>
    <row r="25" customFormat="false" ht="15" hidden="false" customHeight="true" outlineLevel="0" collapsed="false">
      <c r="A25" s="5" t="s">
        <v>100</v>
      </c>
      <c r="B25" s="5" t="s">
        <v>9</v>
      </c>
      <c r="C25" s="5" t="s">
        <v>101</v>
      </c>
      <c r="D25" s="5" t="s">
        <v>102</v>
      </c>
      <c r="E25" s="14" t="n">
        <v>250000</v>
      </c>
      <c r="F25" s="14" t="n">
        <v>85000</v>
      </c>
      <c r="G25" s="6" t="n">
        <f aca="false">IF(ISNUMBER(F25),F25,E25)</f>
        <v>85000</v>
      </c>
      <c r="H25" s="5" t="s">
        <v>103</v>
      </c>
    </row>
    <row r="26" customFormat="false" ht="15" hidden="false" customHeight="true" outlineLevel="0" collapsed="false">
      <c r="A26" s="5" t="s">
        <v>104</v>
      </c>
      <c r="B26" s="5" t="s">
        <v>9</v>
      </c>
      <c r="C26" s="5" t="s">
        <v>105</v>
      </c>
      <c r="D26" s="5" t="s">
        <v>54</v>
      </c>
      <c r="E26" s="14" t="n">
        <v>50000</v>
      </c>
      <c r="F26" s="14" t="n">
        <v>35000</v>
      </c>
      <c r="G26" s="6" t="n">
        <f aca="false">IF(ISNUMBER(F26),F26,E26)</f>
        <v>35000</v>
      </c>
      <c r="H26" s="5" t="s">
        <v>95</v>
      </c>
    </row>
    <row r="27" customFormat="false" ht="15" hidden="false" customHeight="true" outlineLevel="0" collapsed="false">
      <c r="A27" s="5" t="s">
        <v>106</v>
      </c>
      <c r="B27" s="5" t="s">
        <v>9</v>
      </c>
      <c r="C27" s="5" t="s">
        <v>107</v>
      </c>
      <c r="D27" s="5" t="s">
        <v>54</v>
      </c>
      <c r="E27" s="14" t="n">
        <v>300000</v>
      </c>
      <c r="F27" s="14" t="n">
        <v>200000</v>
      </c>
      <c r="G27" s="6" t="n">
        <f aca="false">IF(ISNUMBER(F27),F27,E27)</f>
        <v>200000</v>
      </c>
      <c r="H27" s="5" t="s">
        <v>95</v>
      </c>
    </row>
    <row r="28" customFormat="false" ht="15" hidden="false" customHeight="true" outlineLevel="0" collapsed="false">
      <c r="A28" s="5" t="s">
        <v>108</v>
      </c>
      <c r="B28" s="5" t="s">
        <v>9</v>
      </c>
      <c r="C28" s="5" t="s">
        <v>109</v>
      </c>
      <c r="D28" s="5" t="s">
        <v>54</v>
      </c>
      <c r="E28" s="14" t="n">
        <v>200000</v>
      </c>
      <c r="F28" s="14" t="n">
        <v>130000</v>
      </c>
      <c r="G28" s="6" t="n">
        <f aca="false">IF(ISNUMBER(F28),F28,E28)</f>
        <v>130000</v>
      </c>
      <c r="H28" s="5" t="s">
        <v>95</v>
      </c>
    </row>
    <row r="29" customFormat="false" ht="15" hidden="false" customHeight="true" outlineLevel="0" collapsed="false">
      <c r="A29" s="5" t="s">
        <v>110</v>
      </c>
      <c r="B29" s="5" t="s">
        <v>9</v>
      </c>
      <c r="C29" s="5" t="s">
        <v>111</v>
      </c>
      <c r="D29" s="5" t="s">
        <v>54</v>
      </c>
      <c r="E29" s="14" t="n">
        <v>150000</v>
      </c>
      <c r="F29" s="14" t="n">
        <v>100000</v>
      </c>
      <c r="G29" s="6" t="n">
        <f aca="false">IF(ISNUMBER(F29),F29,E29)</f>
        <v>100000</v>
      </c>
      <c r="H29" s="5" t="s">
        <v>95</v>
      </c>
    </row>
    <row r="30" customFormat="false" ht="15" hidden="false" customHeight="true" outlineLevel="0" collapsed="false">
      <c r="A30" s="5" t="s">
        <v>112</v>
      </c>
      <c r="B30" s="5" t="s">
        <v>9</v>
      </c>
      <c r="C30" s="5" t="s">
        <v>113</v>
      </c>
      <c r="D30" s="5" t="s">
        <v>54</v>
      </c>
      <c r="E30" s="14" t="n">
        <v>40000</v>
      </c>
      <c r="F30" s="14" t="n">
        <v>25000</v>
      </c>
      <c r="G30" s="6" t="n">
        <f aca="false">IF(ISNUMBER(F30),F30,E30)</f>
        <v>25000</v>
      </c>
      <c r="H30" s="5" t="s">
        <v>95</v>
      </c>
    </row>
    <row r="31" customFormat="false" ht="15" hidden="false" customHeight="true" outlineLevel="0" collapsed="false">
      <c r="A31" s="5" t="s">
        <v>114</v>
      </c>
      <c r="B31" s="5" t="s">
        <v>9</v>
      </c>
      <c r="C31" s="5" t="s">
        <v>115</v>
      </c>
      <c r="D31" s="5" t="s">
        <v>54</v>
      </c>
      <c r="E31" s="14" t="n">
        <v>60000</v>
      </c>
      <c r="F31" s="14" t="n">
        <v>40000</v>
      </c>
      <c r="G31" s="6" t="n">
        <f aca="false">IF(ISNUMBER(F31),F31,E31)</f>
        <v>40000</v>
      </c>
      <c r="H31" s="5" t="s">
        <v>95</v>
      </c>
    </row>
    <row r="32" customFormat="false" ht="15" hidden="false" customHeight="true" outlineLevel="0" collapsed="false">
      <c r="A32" s="5" t="s">
        <v>116</v>
      </c>
      <c r="B32" s="5" t="s">
        <v>9</v>
      </c>
      <c r="C32" s="5" t="s">
        <v>117</v>
      </c>
      <c r="D32" s="5" t="s">
        <v>54</v>
      </c>
      <c r="E32" s="14" t="n">
        <v>250000</v>
      </c>
      <c r="F32" s="14" t="n">
        <v>150000</v>
      </c>
      <c r="G32" s="6" t="n">
        <f aca="false">IF(ISNUMBER(F32),F32,E32)</f>
        <v>150000</v>
      </c>
      <c r="H32" s="5" t="s">
        <v>95</v>
      </c>
    </row>
    <row r="33" customFormat="false" ht="15" hidden="false" customHeight="true" outlineLevel="0" collapsed="false">
      <c r="A33" s="5" t="s">
        <v>118</v>
      </c>
      <c r="B33" s="5" t="s">
        <v>9</v>
      </c>
      <c r="C33" s="5" t="s">
        <v>119</v>
      </c>
      <c r="D33" s="5" t="s">
        <v>54</v>
      </c>
      <c r="E33" s="14" t="n">
        <v>500000</v>
      </c>
      <c r="F33" s="14" t="n">
        <v>300000</v>
      </c>
      <c r="G33" s="6" t="n">
        <f aca="false">IF(ISNUMBER(F33),F33,E33)</f>
        <v>300000</v>
      </c>
      <c r="H33" s="5" t="s">
        <v>95</v>
      </c>
    </row>
    <row r="34" customFormat="false" ht="15" hidden="false" customHeight="true" outlineLevel="0" collapsed="false">
      <c r="A34" s="5" t="s">
        <v>120</v>
      </c>
      <c r="B34" s="5" t="s">
        <v>9</v>
      </c>
      <c r="C34" s="5" t="s">
        <v>121</v>
      </c>
      <c r="D34" s="5" t="s">
        <v>54</v>
      </c>
      <c r="E34" s="14" t="n">
        <v>600000</v>
      </c>
      <c r="F34" s="14"/>
      <c r="G34" s="6" t="n">
        <f aca="false">IF(ISNUMBER(F34),F34,E34)</f>
        <v>600000</v>
      </c>
      <c r="H34" s="5" t="s">
        <v>58</v>
      </c>
    </row>
    <row r="35" customFormat="false" ht="15" hidden="false" customHeight="true" outlineLevel="0" collapsed="false">
      <c r="A35" s="5" t="s">
        <v>122</v>
      </c>
      <c r="B35" s="5" t="s">
        <v>9</v>
      </c>
      <c r="C35" s="5" t="s">
        <v>123</v>
      </c>
      <c r="D35" s="5" t="s">
        <v>54</v>
      </c>
      <c r="E35" s="14" t="n">
        <v>450000</v>
      </c>
      <c r="F35" s="14"/>
      <c r="G35" s="6" t="n">
        <f aca="false">IF(ISNUMBER(F35),F35,E35)</f>
        <v>450000</v>
      </c>
      <c r="H35" s="5" t="s">
        <v>58</v>
      </c>
    </row>
    <row r="36" customFormat="false" ht="15" hidden="false" customHeight="true" outlineLevel="0" collapsed="false">
      <c r="A36" s="5" t="s">
        <v>124</v>
      </c>
      <c r="B36" s="5" t="s">
        <v>9</v>
      </c>
      <c r="C36" s="5" t="s">
        <v>125</v>
      </c>
      <c r="D36" s="5" t="s">
        <v>54</v>
      </c>
      <c r="E36" s="14" t="n">
        <v>3500000</v>
      </c>
      <c r="F36" s="14"/>
      <c r="G36" s="6" t="n">
        <f aca="false">IF(ISNUMBER(F36),F36,E36)</f>
        <v>3500000</v>
      </c>
      <c r="H36" s="5" t="s">
        <v>126</v>
      </c>
    </row>
    <row r="37" customFormat="false" ht="15" hidden="false" customHeight="true" outlineLevel="0" collapsed="false">
      <c r="A37" s="5" t="s">
        <v>127</v>
      </c>
      <c r="B37" s="5" t="s">
        <v>10</v>
      </c>
      <c r="C37" s="5" t="s">
        <v>128</v>
      </c>
      <c r="D37" s="5" t="s">
        <v>102</v>
      </c>
      <c r="E37" s="14" t="n">
        <v>220000</v>
      </c>
      <c r="F37" s="14"/>
      <c r="G37" s="6" t="n">
        <f aca="false">IF(ISNUMBER(F37),F37,E37)</f>
        <v>220000</v>
      </c>
      <c r="H37" s="5" t="s">
        <v>129</v>
      </c>
    </row>
    <row r="38" customFormat="false" ht="15" hidden="false" customHeight="true" outlineLevel="0" collapsed="false">
      <c r="A38" s="5" t="s">
        <v>130</v>
      </c>
      <c r="B38" s="5" t="s">
        <v>10</v>
      </c>
      <c r="C38" s="5" t="s">
        <v>131</v>
      </c>
      <c r="D38" s="5" t="s">
        <v>102</v>
      </c>
      <c r="E38" s="14" t="n">
        <v>90000</v>
      </c>
      <c r="F38" s="14"/>
      <c r="G38" s="6" t="n">
        <f aca="false">IF(ISNUMBER(F38),F38,E38)</f>
        <v>90000</v>
      </c>
      <c r="H38" s="5" t="s">
        <v>58</v>
      </c>
    </row>
    <row r="39" customFormat="false" ht="15" hidden="false" customHeight="true" outlineLevel="0" collapsed="false">
      <c r="A39" s="5" t="s">
        <v>132</v>
      </c>
      <c r="B39" s="5" t="s">
        <v>10</v>
      </c>
      <c r="C39" s="5" t="s">
        <v>133</v>
      </c>
      <c r="D39" s="5" t="s">
        <v>54</v>
      </c>
      <c r="E39" s="14" t="n">
        <v>250000</v>
      </c>
      <c r="F39" s="14"/>
      <c r="G39" s="6" t="n">
        <f aca="false">IF(ISNUMBER(F39),F39,E39)</f>
        <v>250000</v>
      </c>
      <c r="H39" s="5" t="s">
        <v>58</v>
      </c>
    </row>
    <row r="40" customFormat="false" ht="15" hidden="false" customHeight="true" outlineLevel="0" collapsed="false">
      <c r="A40" s="5" t="s">
        <v>134</v>
      </c>
      <c r="B40" s="5" t="s">
        <v>11</v>
      </c>
      <c r="C40" s="5" t="s">
        <v>135</v>
      </c>
      <c r="D40" s="5" t="s">
        <v>54</v>
      </c>
      <c r="E40" s="14" t="n">
        <v>55000</v>
      </c>
      <c r="F40" s="14"/>
      <c r="G40" s="6" t="n">
        <f aca="false">IF(ISNUMBER(F40),F40,E40)</f>
        <v>55000</v>
      </c>
      <c r="H40" s="5" t="s">
        <v>136</v>
      </c>
    </row>
    <row r="41" customFormat="false" ht="15" hidden="false" customHeight="true" outlineLevel="0" collapsed="false">
      <c r="A41" s="5" t="s">
        <v>137</v>
      </c>
      <c r="B41" s="5" t="s">
        <v>11</v>
      </c>
      <c r="C41" s="5" t="s">
        <v>138</v>
      </c>
      <c r="D41" s="5" t="s">
        <v>54</v>
      </c>
      <c r="E41" s="14" t="n">
        <v>80000</v>
      </c>
      <c r="F41" s="14"/>
      <c r="G41" s="6" t="n">
        <f aca="false">IF(ISNUMBER(F41),F41,E41)</f>
        <v>80000</v>
      </c>
      <c r="H41" s="5" t="s">
        <v>139</v>
      </c>
    </row>
    <row r="42" customFormat="false" ht="15" hidden="false" customHeight="true" outlineLevel="0" collapsed="false">
      <c r="A42" s="5" t="s">
        <v>140</v>
      </c>
      <c r="B42" s="5" t="s">
        <v>11</v>
      </c>
      <c r="C42" s="5" t="s">
        <v>141</v>
      </c>
      <c r="D42" s="5" t="s">
        <v>54</v>
      </c>
      <c r="E42" s="14" t="n">
        <v>65000</v>
      </c>
      <c r="F42" s="14"/>
      <c r="G42" s="6" t="n">
        <f aca="false">IF(ISNUMBER(F42),F42,E42)</f>
        <v>65000</v>
      </c>
      <c r="H42" s="5" t="s">
        <v>142</v>
      </c>
    </row>
    <row r="43" customFormat="false" ht="15" hidden="false" customHeight="true" outlineLevel="0" collapsed="false">
      <c r="A43" s="5" t="s">
        <v>143</v>
      </c>
      <c r="B43" s="5" t="s">
        <v>11</v>
      </c>
      <c r="C43" s="5" t="s">
        <v>144</v>
      </c>
      <c r="D43" s="5" t="s">
        <v>54</v>
      </c>
      <c r="E43" s="14" t="n">
        <v>25000</v>
      </c>
      <c r="F43" s="14"/>
      <c r="G43" s="6" t="n">
        <f aca="false">IF(ISNUMBER(F43),F43,E43)</f>
        <v>25000</v>
      </c>
      <c r="H43" s="5" t="s">
        <v>145</v>
      </c>
    </row>
    <row r="44" customFormat="false" ht="15" hidden="false" customHeight="true" outlineLevel="0" collapsed="false">
      <c r="A44" s="5" t="s">
        <v>146</v>
      </c>
      <c r="B44" s="5" t="s">
        <v>11</v>
      </c>
      <c r="C44" s="5" t="s">
        <v>147</v>
      </c>
      <c r="D44" s="5" t="s">
        <v>54</v>
      </c>
      <c r="E44" s="14" t="n">
        <v>45000</v>
      </c>
      <c r="F44" s="14"/>
      <c r="G44" s="6" t="n">
        <f aca="false">IF(ISNUMBER(F44),F44,E44)</f>
        <v>45000</v>
      </c>
      <c r="H44" s="5" t="s">
        <v>145</v>
      </c>
    </row>
    <row r="45" customFormat="false" ht="15" hidden="false" customHeight="true" outlineLevel="0" collapsed="false">
      <c r="A45" s="5" t="s">
        <v>148</v>
      </c>
      <c r="B45" s="5" t="s">
        <v>11</v>
      </c>
      <c r="C45" s="5" t="s">
        <v>149</v>
      </c>
      <c r="D45" s="5" t="s">
        <v>54</v>
      </c>
      <c r="E45" s="14" t="n">
        <v>65000</v>
      </c>
      <c r="F45" s="14"/>
      <c r="G45" s="6" t="n">
        <f aca="false">IF(ISNUMBER(F45),F45,E45)</f>
        <v>65000</v>
      </c>
      <c r="H45" s="5" t="s">
        <v>145</v>
      </c>
    </row>
    <row r="46" customFormat="false" ht="15" hidden="false" customHeight="true" outlineLevel="0" collapsed="false">
      <c r="A46" s="5" t="s">
        <v>150</v>
      </c>
      <c r="B46" s="5" t="s">
        <v>11</v>
      </c>
      <c r="C46" s="5" t="s">
        <v>151</v>
      </c>
      <c r="D46" s="5" t="s">
        <v>54</v>
      </c>
      <c r="E46" s="14" t="n">
        <v>85000</v>
      </c>
      <c r="F46" s="14"/>
      <c r="G46" s="6" t="n">
        <f aca="false">IF(ISNUMBER(F46),F46,E46)</f>
        <v>85000</v>
      </c>
      <c r="H46" s="5" t="s">
        <v>145</v>
      </c>
    </row>
    <row r="47" customFormat="false" ht="15" hidden="false" customHeight="true" outlineLevel="0" collapsed="false">
      <c r="A47" s="5" t="s">
        <v>152</v>
      </c>
      <c r="B47" s="5" t="s">
        <v>11</v>
      </c>
      <c r="C47" s="5" t="s">
        <v>153</v>
      </c>
      <c r="D47" s="5" t="s">
        <v>54</v>
      </c>
      <c r="E47" s="14" t="n">
        <v>105000</v>
      </c>
      <c r="F47" s="14"/>
      <c r="G47" s="6" t="n">
        <f aca="false">IF(ISNUMBER(F47),F47,E47)</f>
        <v>105000</v>
      </c>
      <c r="H47" s="5" t="s">
        <v>145</v>
      </c>
    </row>
    <row r="48" customFormat="false" ht="15" hidden="false" customHeight="true" outlineLevel="0" collapsed="false">
      <c r="A48" s="5" t="s">
        <v>154</v>
      </c>
      <c r="B48" s="5" t="s">
        <v>11</v>
      </c>
      <c r="C48" s="5" t="s">
        <v>155</v>
      </c>
      <c r="D48" s="5" t="s">
        <v>54</v>
      </c>
      <c r="E48" s="14" t="n">
        <v>1400000</v>
      </c>
      <c r="F48" s="14"/>
      <c r="G48" s="6" t="n">
        <f aca="false">IF(ISNUMBER(F48),F48,E48)</f>
        <v>1400000</v>
      </c>
      <c r="H48" s="5" t="s">
        <v>58</v>
      </c>
    </row>
    <row r="49" customFormat="false" ht="15" hidden="false" customHeight="true" outlineLevel="0" collapsed="false">
      <c r="A49" s="5" t="s">
        <v>156</v>
      </c>
      <c r="B49" s="5" t="s">
        <v>11</v>
      </c>
      <c r="C49" s="5" t="s">
        <v>157</v>
      </c>
      <c r="D49" s="5" t="s">
        <v>54</v>
      </c>
      <c r="E49" s="14" t="n">
        <v>120000</v>
      </c>
      <c r="F49" s="14"/>
      <c r="G49" s="6" t="n">
        <f aca="false">IF(ISNUMBER(F49),F49,E49)</f>
        <v>120000</v>
      </c>
      <c r="H49" s="5" t="s">
        <v>158</v>
      </c>
    </row>
    <row r="50" customFormat="false" ht="15" hidden="false" customHeight="true" outlineLevel="0" collapsed="false">
      <c r="A50" s="5" t="s">
        <v>159</v>
      </c>
      <c r="B50" s="5" t="s">
        <v>11</v>
      </c>
      <c r="C50" s="5" t="s">
        <v>160</v>
      </c>
      <c r="D50" s="5" t="s">
        <v>54</v>
      </c>
      <c r="E50" s="14" t="n">
        <v>400000</v>
      </c>
      <c r="F50" s="14"/>
      <c r="G50" s="6" t="n">
        <f aca="false">IF(ISNUMBER(F50),F50,E50)</f>
        <v>400000</v>
      </c>
      <c r="H50" s="5" t="s">
        <v>58</v>
      </c>
    </row>
    <row r="51" customFormat="false" ht="15" hidden="false" customHeight="true" outlineLevel="0" collapsed="false">
      <c r="A51" s="5" t="s">
        <v>161</v>
      </c>
      <c r="B51" s="5" t="s">
        <v>11</v>
      </c>
      <c r="C51" s="5" t="s">
        <v>162</v>
      </c>
      <c r="D51" s="5" t="s">
        <v>54</v>
      </c>
      <c r="E51" s="14" t="n">
        <v>150000</v>
      </c>
      <c r="F51" s="14"/>
      <c r="G51" s="6" t="n">
        <f aca="false">IF(ISNUMBER(F51),F51,E51)</f>
        <v>150000</v>
      </c>
      <c r="H51" s="5" t="s">
        <v>58</v>
      </c>
    </row>
    <row r="52" customFormat="false" ht="15" hidden="false" customHeight="true" outlineLevel="0" collapsed="false">
      <c r="A52" s="5" t="s">
        <v>163</v>
      </c>
      <c r="B52" s="5" t="s">
        <v>11</v>
      </c>
      <c r="C52" s="5" t="s">
        <v>164</v>
      </c>
      <c r="D52" s="5" t="s">
        <v>54</v>
      </c>
      <c r="E52" s="14" t="n">
        <v>350000</v>
      </c>
      <c r="F52" s="14"/>
      <c r="G52" s="6" t="n">
        <f aca="false">IF(ISNUMBER(F52),F52,E52)</f>
        <v>350000</v>
      </c>
      <c r="H52" s="5" t="s">
        <v>165</v>
      </c>
    </row>
    <row r="53" customFormat="false" ht="15" hidden="false" customHeight="true" outlineLevel="0" collapsed="false">
      <c r="A53" s="5" t="s">
        <v>166</v>
      </c>
      <c r="B53" s="5" t="s">
        <v>12</v>
      </c>
      <c r="C53" s="5" t="s">
        <v>167</v>
      </c>
      <c r="D53" s="5" t="s">
        <v>168</v>
      </c>
      <c r="E53" s="14" t="n">
        <v>450000</v>
      </c>
      <c r="F53" s="14" t="n">
        <v>419070</v>
      </c>
      <c r="G53" s="6" t="n">
        <f aca="false">IF(ISNUMBER(F53),F53,E53)</f>
        <v>419070</v>
      </c>
      <c r="H53" s="5" t="s">
        <v>169</v>
      </c>
    </row>
    <row r="54" customFormat="false" ht="15" hidden="false" customHeight="true" outlineLevel="0" collapsed="false">
      <c r="A54" s="5" t="s">
        <v>170</v>
      </c>
      <c r="B54" s="5" t="s">
        <v>13</v>
      </c>
      <c r="C54" s="5" t="s">
        <v>171</v>
      </c>
      <c r="D54" s="5" t="s">
        <v>54</v>
      </c>
      <c r="E54" s="14" t="n">
        <v>395000</v>
      </c>
      <c r="F54" s="14" t="n">
        <v>395000</v>
      </c>
      <c r="G54" s="6" t="n">
        <f aca="false">IF(ISNUMBER(F54),F54,E54)</f>
        <v>395000</v>
      </c>
      <c r="H54" s="5" t="s">
        <v>172</v>
      </c>
    </row>
    <row r="55" customFormat="false" ht="15" hidden="false" customHeight="true" outlineLevel="0" collapsed="false">
      <c r="A55" s="5" t="s">
        <v>173</v>
      </c>
      <c r="B55" s="5" t="s">
        <v>13</v>
      </c>
      <c r="C55" s="5" t="s">
        <v>174</v>
      </c>
      <c r="D55" s="5" t="s">
        <v>168</v>
      </c>
      <c r="E55" s="14" t="n">
        <v>350000</v>
      </c>
      <c r="F55" s="14"/>
      <c r="G55" s="6" t="n">
        <f aca="false">IF(ISNUMBER(F55),F55,E55)</f>
        <v>350000</v>
      </c>
      <c r="H55" s="5" t="s">
        <v>58</v>
      </c>
    </row>
    <row r="56" customFormat="false" ht="15" hidden="false" customHeight="true" outlineLevel="0" collapsed="false">
      <c r="A56" s="5" t="s">
        <v>175</v>
      </c>
      <c r="B56" s="5" t="s">
        <v>13</v>
      </c>
      <c r="C56" s="5" t="s">
        <v>176</v>
      </c>
      <c r="D56" s="5" t="s">
        <v>168</v>
      </c>
      <c r="E56" s="14" t="n">
        <v>220000</v>
      </c>
      <c r="F56" s="14"/>
      <c r="G56" s="6" t="n">
        <f aca="false">IF(ISNUMBER(F56),F56,E56)</f>
        <v>220000</v>
      </c>
      <c r="H56" s="5" t="s">
        <v>58</v>
      </c>
    </row>
    <row r="57" customFormat="false" ht="15" hidden="false" customHeight="true" outlineLevel="0" collapsed="false">
      <c r="A57" s="5" t="s">
        <v>177</v>
      </c>
      <c r="B57" s="5" t="s">
        <v>13</v>
      </c>
      <c r="C57" s="5" t="s">
        <v>178</v>
      </c>
      <c r="D57" s="5" t="s">
        <v>168</v>
      </c>
      <c r="E57" s="14" t="n">
        <v>350000</v>
      </c>
      <c r="F57" s="14"/>
      <c r="G57" s="6" t="n">
        <f aca="false">IF(ISNUMBER(F57),F57,E57)</f>
        <v>350000</v>
      </c>
      <c r="H57" s="5" t="s">
        <v>58</v>
      </c>
    </row>
    <row r="58" customFormat="false" ht="15" hidden="false" customHeight="true" outlineLevel="0" collapsed="false">
      <c r="A58" s="5" t="s">
        <v>179</v>
      </c>
      <c r="B58" s="5" t="s">
        <v>14</v>
      </c>
      <c r="C58" s="5" t="s">
        <v>180</v>
      </c>
      <c r="D58" s="5" t="s">
        <v>168</v>
      </c>
      <c r="E58" s="14" t="n">
        <v>25000</v>
      </c>
      <c r="F58" s="14"/>
      <c r="G58" s="6" t="n">
        <f aca="false">IF(ISNUMBER(F58),F58,E58)</f>
        <v>25000</v>
      </c>
      <c r="H58" s="5" t="s">
        <v>181</v>
      </c>
    </row>
    <row r="59" customFormat="false" ht="15" hidden="false" customHeight="true" outlineLevel="0" collapsed="false">
      <c r="A59" s="5" t="s">
        <v>182</v>
      </c>
      <c r="B59" s="5" t="s">
        <v>14</v>
      </c>
      <c r="C59" s="5" t="s">
        <v>183</v>
      </c>
      <c r="D59" s="5" t="s">
        <v>168</v>
      </c>
      <c r="E59" s="14" t="n">
        <v>32000</v>
      </c>
      <c r="F59" s="14"/>
      <c r="G59" s="6" t="n">
        <f aca="false">IF(ISNUMBER(F59),F59,E59)</f>
        <v>32000</v>
      </c>
      <c r="H59" s="5" t="s">
        <v>181</v>
      </c>
    </row>
    <row r="60" customFormat="false" ht="15" hidden="false" customHeight="true" outlineLevel="0" collapsed="false">
      <c r="A60" s="5" t="s">
        <v>184</v>
      </c>
      <c r="B60" s="5" t="s">
        <v>14</v>
      </c>
      <c r="C60" s="5" t="s">
        <v>185</v>
      </c>
      <c r="D60" s="5" t="s">
        <v>168</v>
      </c>
      <c r="E60" s="14" t="n">
        <v>250000</v>
      </c>
      <c r="F60" s="14"/>
      <c r="G60" s="6" t="n">
        <f aca="false">IF(ISNUMBER(F60),F60,E60)</f>
        <v>250000</v>
      </c>
      <c r="H60" s="5" t="s">
        <v>58</v>
      </c>
    </row>
    <row r="61" customFormat="false" ht="15" hidden="false" customHeight="true" outlineLevel="0" collapsed="false">
      <c r="A61" s="5" t="s">
        <v>186</v>
      </c>
      <c r="B61" s="5" t="s">
        <v>14</v>
      </c>
      <c r="C61" s="5" t="s">
        <v>187</v>
      </c>
      <c r="D61" s="5" t="s">
        <v>168</v>
      </c>
      <c r="E61" s="14" t="n">
        <v>400000</v>
      </c>
      <c r="F61" s="14"/>
      <c r="G61" s="6" t="n">
        <f aca="false">IF(ISNUMBER(F61),F61,E61)</f>
        <v>400000</v>
      </c>
      <c r="H61" s="5" t="s">
        <v>188</v>
      </c>
    </row>
    <row r="62" customFormat="false" ht="15" hidden="false" customHeight="true" outlineLevel="0" collapsed="false">
      <c r="A62" s="5" t="s">
        <v>189</v>
      </c>
      <c r="B62" s="5" t="s">
        <v>14</v>
      </c>
      <c r="C62" s="5" t="s">
        <v>190</v>
      </c>
      <c r="D62" s="5" t="s">
        <v>168</v>
      </c>
      <c r="E62" s="14" t="n">
        <v>150000</v>
      </c>
      <c r="F62" s="14"/>
      <c r="G62" s="6" t="n">
        <f aca="false">IF(ISNUMBER(F62),F62,E62)</f>
        <v>150000</v>
      </c>
      <c r="H62" s="5" t="s">
        <v>191</v>
      </c>
    </row>
    <row r="63" customFormat="false" ht="15" hidden="false" customHeight="true" outlineLevel="0" collapsed="false">
      <c r="A63" s="5" t="s">
        <v>192</v>
      </c>
      <c r="B63" s="5" t="s">
        <v>15</v>
      </c>
      <c r="C63" s="5" t="s">
        <v>193</v>
      </c>
      <c r="D63" s="5" t="s">
        <v>194</v>
      </c>
      <c r="E63" s="14" t="n">
        <v>350000</v>
      </c>
      <c r="F63" s="14" t="n">
        <v>350000</v>
      </c>
      <c r="G63" s="6" t="n">
        <f aca="false">IF(ISNUMBER(F63),F63,E63)</f>
        <v>350000</v>
      </c>
      <c r="H63" s="5" t="s">
        <v>172</v>
      </c>
    </row>
    <row r="64" customFormat="false" ht="15" hidden="false" customHeight="true" outlineLevel="0" collapsed="false">
      <c r="A64" s="5" t="s">
        <v>195</v>
      </c>
      <c r="B64" s="5" t="s">
        <v>15</v>
      </c>
      <c r="C64" s="5" t="s">
        <v>196</v>
      </c>
      <c r="D64" s="5" t="s">
        <v>54</v>
      </c>
      <c r="E64" s="14" t="n">
        <v>35000</v>
      </c>
      <c r="F64" s="14" t="n">
        <v>35000</v>
      </c>
      <c r="G64" s="6" t="n">
        <f aca="false">IF(ISNUMBER(F64),F64,E64)</f>
        <v>35000</v>
      </c>
      <c r="H64" s="5" t="s">
        <v>172</v>
      </c>
    </row>
    <row r="65" customFormat="false" ht="15" hidden="false" customHeight="true" outlineLevel="0" collapsed="false">
      <c r="A65" s="5" t="s">
        <v>197</v>
      </c>
      <c r="B65" s="5" t="s">
        <v>20</v>
      </c>
      <c r="C65" s="5" t="s">
        <v>198</v>
      </c>
      <c r="D65" s="5" t="s">
        <v>54</v>
      </c>
      <c r="E65" s="15" t="n">
        <v>20000000</v>
      </c>
      <c r="F65" s="15"/>
      <c r="G65" s="6" t="n">
        <f aca="false">IF(ISNUMBER(F65),F65,E65)</f>
        <v>20000000</v>
      </c>
      <c r="H65" s="5" t="s">
        <v>199</v>
      </c>
    </row>
    <row r="66" customFormat="false" ht="15" hidden="false" customHeight="true" outlineLevel="0" collapsed="false">
      <c r="A66" s="5" t="s">
        <v>200</v>
      </c>
      <c r="B66" s="5" t="s">
        <v>20</v>
      </c>
      <c r="C66" s="5" t="s">
        <v>201</v>
      </c>
      <c r="D66" s="5" t="s">
        <v>102</v>
      </c>
      <c r="E66" s="15" t="n">
        <v>3500000</v>
      </c>
      <c r="F66" s="15"/>
      <c r="G66" s="6" t="n">
        <f aca="false">IF(ISNUMBER(F66),F66,E66)</f>
        <v>3500000</v>
      </c>
      <c r="H66" s="5" t="s">
        <v>202</v>
      </c>
    </row>
    <row r="67" customFormat="false" ht="15" hidden="false" customHeight="true" outlineLevel="0" collapsed="false">
      <c r="A67" s="5" t="s">
        <v>203</v>
      </c>
      <c r="B67" s="5" t="s">
        <v>20</v>
      </c>
      <c r="C67" s="5" t="s">
        <v>204</v>
      </c>
      <c r="D67" s="5" t="s">
        <v>102</v>
      </c>
      <c r="E67" s="15" t="n">
        <v>4500000</v>
      </c>
      <c r="F67" s="15"/>
      <c r="G67" s="6" t="n">
        <f aca="false">IF(ISNUMBER(F67),F67,E67)</f>
        <v>4500000</v>
      </c>
      <c r="H67" s="5" t="s">
        <v>205</v>
      </c>
    </row>
    <row r="68" customFormat="false" ht="15" hidden="false" customHeight="true" outlineLevel="0" collapsed="false">
      <c r="A68" s="5" t="s">
        <v>206</v>
      </c>
      <c r="B68" s="5" t="s">
        <v>20</v>
      </c>
      <c r="C68" s="5" t="s">
        <v>207</v>
      </c>
      <c r="D68" s="5" t="s">
        <v>102</v>
      </c>
      <c r="E68" s="15" t="n">
        <v>2500000</v>
      </c>
      <c r="F68" s="15"/>
      <c r="G68" s="6" t="n">
        <f aca="false">IF(ISNUMBER(F68),F68,E68)</f>
        <v>2500000</v>
      </c>
      <c r="H68" s="5" t="s">
        <v>208</v>
      </c>
    </row>
    <row r="69" customFormat="false" ht="15" hidden="false" customHeight="true" outlineLevel="0" collapsed="false">
      <c r="A69" s="5" t="s">
        <v>209</v>
      </c>
      <c r="B69" s="5" t="s">
        <v>20</v>
      </c>
      <c r="C69" s="5" t="s">
        <v>210</v>
      </c>
      <c r="D69" s="5" t="s">
        <v>54</v>
      </c>
      <c r="E69" s="15" t="n">
        <v>3000000</v>
      </c>
      <c r="F69" s="15"/>
      <c r="G69" s="6" t="n">
        <f aca="false">IF(ISNUMBER(F69),F69,E69)</f>
        <v>3000000</v>
      </c>
      <c r="H69" s="5" t="s">
        <v>208</v>
      </c>
    </row>
    <row r="70" customFormat="false" ht="15" hidden="false" customHeight="true" outlineLevel="0" collapsed="false">
      <c r="A70" s="5" t="s">
        <v>211</v>
      </c>
      <c r="B70" s="5" t="s">
        <v>20</v>
      </c>
      <c r="C70" s="5" t="s">
        <v>212</v>
      </c>
      <c r="D70" s="5" t="s">
        <v>54</v>
      </c>
      <c r="E70" s="15" t="n">
        <v>5000000</v>
      </c>
      <c r="F70" s="15"/>
      <c r="G70" s="6" t="n">
        <f aca="false">IF(ISNUMBER(F70),F70,E70)</f>
        <v>5000000</v>
      </c>
      <c r="H70" s="5" t="s">
        <v>213</v>
      </c>
    </row>
    <row r="71" customFormat="false" ht="15" hidden="false" customHeight="true" outlineLevel="0" collapsed="false">
      <c r="A71" s="5" t="s">
        <v>214</v>
      </c>
      <c r="B71" s="5" t="s">
        <v>20</v>
      </c>
      <c r="C71" s="5" t="s">
        <v>215</v>
      </c>
      <c r="D71" s="5" t="s">
        <v>54</v>
      </c>
      <c r="E71" s="15" t="n">
        <v>4500000</v>
      </c>
      <c r="F71" s="15"/>
      <c r="G71" s="6" t="n">
        <f aca="false">IF(ISNUMBER(F71),F71,E71)</f>
        <v>4500000</v>
      </c>
      <c r="H71" s="5" t="s">
        <v>208</v>
      </c>
    </row>
    <row r="72" customFormat="false" ht="15" hidden="false" customHeight="true" outlineLevel="0" collapsed="false">
      <c r="A72" s="5" t="s">
        <v>216</v>
      </c>
      <c r="B72" s="5" t="s">
        <v>20</v>
      </c>
      <c r="C72" s="5" t="s">
        <v>217</v>
      </c>
      <c r="D72" s="5" t="s">
        <v>54</v>
      </c>
      <c r="E72" s="15" t="n">
        <v>15000000</v>
      </c>
      <c r="F72" s="15"/>
      <c r="G72" s="6" t="n">
        <f aca="false">IF(ISNUMBER(F72),F72,E72)</f>
        <v>15000000</v>
      </c>
      <c r="H72" s="5" t="s">
        <v>208</v>
      </c>
    </row>
    <row r="73" customFormat="false" ht="15" hidden="false" customHeight="true" outlineLevel="0" collapsed="false">
      <c r="A73" s="5" t="s">
        <v>218</v>
      </c>
      <c r="B73" s="5" t="s">
        <v>20</v>
      </c>
      <c r="C73" s="5" t="s">
        <v>219</v>
      </c>
      <c r="D73" s="5" t="s">
        <v>54</v>
      </c>
      <c r="E73" s="15" t="n">
        <v>20000000</v>
      </c>
      <c r="F73" s="15"/>
      <c r="G73" s="6" t="n">
        <f aca="false">IF(ISNUMBER(F73),F73,E73)</f>
        <v>20000000</v>
      </c>
      <c r="H73" s="5" t="s">
        <v>220</v>
      </c>
    </row>
    <row r="74" customFormat="false" ht="15" hidden="false" customHeight="true" outlineLevel="0" collapsed="false">
      <c r="A74" s="5" t="s">
        <v>221</v>
      </c>
      <c r="B74" s="5" t="s">
        <v>20</v>
      </c>
      <c r="C74" s="5" t="s">
        <v>222</v>
      </c>
      <c r="D74" s="5" t="s">
        <v>54</v>
      </c>
      <c r="E74" s="15" t="n">
        <v>1200000</v>
      </c>
      <c r="F74" s="15"/>
      <c r="G74" s="6" t="n">
        <f aca="false">IF(ISNUMBER(F74),F74,E74)</f>
        <v>1200000</v>
      </c>
      <c r="H74" s="5" t="s">
        <v>223</v>
      </c>
    </row>
    <row r="75" customFormat="false" ht="15" hidden="false" customHeight="true" outlineLevel="0" collapsed="false">
      <c r="A75" s="5" t="s">
        <v>224</v>
      </c>
      <c r="B75" s="5" t="s">
        <v>20</v>
      </c>
      <c r="C75" s="5" t="s">
        <v>225</v>
      </c>
      <c r="D75" s="5" t="s">
        <v>54</v>
      </c>
      <c r="E75" s="15" t="n">
        <v>2500000</v>
      </c>
      <c r="F75" s="15"/>
      <c r="G75" s="6" t="n">
        <f aca="false">IF(ISNUMBER(F75),F75,E75)</f>
        <v>2500000</v>
      </c>
      <c r="H75" s="5" t="s">
        <v>223</v>
      </c>
    </row>
    <row r="76" customFormat="false" ht="15" hidden="false" customHeight="true" outlineLevel="0" collapsed="false">
      <c r="A76" s="5" t="s">
        <v>226</v>
      </c>
      <c r="B76" s="5" t="s">
        <v>20</v>
      </c>
      <c r="C76" s="5" t="s">
        <v>227</v>
      </c>
      <c r="D76" s="5" t="s">
        <v>54</v>
      </c>
      <c r="E76" s="15" t="n">
        <v>5000000</v>
      </c>
      <c r="F76" s="15"/>
      <c r="G76" s="6" t="n">
        <f aca="false">IF(ISNUMBER(F76),F76,E76)</f>
        <v>5000000</v>
      </c>
      <c r="H76" s="5" t="s">
        <v>223</v>
      </c>
    </row>
    <row r="77" customFormat="false" ht="15" hidden="false" customHeight="true" outlineLevel="0" collapsed="false">
      <c r="A77" s="5" t="s">
        <v>228</v>
      </c>
      <c r="B77" s="5" t="s">
        <v>20</v>
      </c>
      <c r="C77" s="5" t="s">
        <v>229</v>
      </c>
      <c r="D77" s="5" t="s">
        <v>54</v>
      </c>
      <c r="E77" s="15" t="n">
        <v>1800000</v>
      </c>
      <c r="F77" s="15"/>
      <c r="G77" s="6" t="n">
        <f aca="false">IF(ISNUMBER(F77),F77,E77)</f>
        <v>1800000</v>
      </c>
      <c r="H77" s="5" t="s">
        <v>223</v>
      </c>
    </row>
    <row r="78" customFormat="false" ht="15" hidden="false" customHeight="true" outlineLevel="0" collapsed="false">
      <c r="A78" s="5" t="s">
        <v>230</v>
      </c>
      <c r="B78" s="5" t="s">
        <v>20</v>
      </c>
      <c r="C78" s="5" t="s">
        <v>231</v>
      </c>
      <c r="D78" s="5" t="s">
        <v>54</v>
      </c>
      <c r="E78" s="15" t="n">
        <v>3500000</v>
      </c>
      <c r="F78" s="15"/>
      <c r="G78" s="6" t="n">
        <f aca="false">IF(ISNUMBER(F78),F78,E78)</f>
        <v>3500000</v>
      </c>
      <c r="H78" s="5" t="s">
        <v>223</v>
      </c>
    </row>
    <row r="79" customFormat="false" ht="15" hidden="false" customHeight="true" outlineLevel="0" collapsed="false">
      <c r="A79" s="5" t="s">
        <v>232</v>
      </c>
      <c r="B79" s="5" t="s">
        <v>20</v>
      </c>
      <c r="C79" s="5" t="s">
        <v>233</v>
      </c>
      <c r="D79" s="5" t="s">
        <v>54</v>
      </c>
      <c r="E79" s="15" t="n">
        <v>1800000</v>
      </c>
      <c r="F79" s="15"/>
      <c r="G79" s="6" t="n">
        <f aca="false">IF(ISNUMBER(F79),F79,E79)</f>
        <v>1800000</v>
      </c>
      <c r="H79" s="5" t="s">
        <v>223</v>
      </c>
    </row>
    <row r="80" customFormat="false" ht="15" hidden="false" customHeight="true" outlineLevel="0" collapsed="false">
      <c r="A80" s="5" t="s">
        <v>234</v>
      </c>
      <c r="B80" s="5" t="s">
        <v>20</v>
      </c>
      <c r="C80" s="5" t="s">
        <v>235</v>
      </c>
      <c r="D80" s="5" t="s">
        <v>54</v>
      </c>
      <c r="E80" s="15" t="n">
        <v>10000000</v>
      </c>
      <c r="F80" s="15"/>
      <c r="G80" s="6" t="n">
        <f aca="false">IF(ISNUMBER(F80),F80,E80)</f>
        <v>10000000</v>
      </c>
      <c r="H80" s="5" t="s">
        <v>208</v>
      </c>
    </row>
    <row r="81" customFormat="false" ht="15" hidden="false" customHeight="true" outlineLevel="0" collapsed="false">
      <c r="A81" s="5" t="s">
        <v>236</v>
      </c>
      <c r="B81" s="5" t="s">
        <v>20</v>
      </c>
      <c r="C81" s="5" t="s">
        <v>237</v>
      </c>
      <c r="D81" s="5" t="s">
        <v>54</v>
      </c>
      <c r="E81" s="15" t="n">
        <v>25000000</v>
      </c>
      <c r="F81" s="15"/>
      <c r="G81" s="6" t="n">
        <f aca="false">IF(ISNUMBER(F81),F81,E81)</f>
        <v>25000000</v>
      </c>
      <c r="H81" s="5" t="s">
        <v>238</v>
      </c>
    </row>
    <row r="82" customFormat="false" ht="15" hidden="false" customHeight="true" outlineLevel="0" collapsed="false">
      <c r="A82" s="5" t="s">
        <v>239</v>
      </c>
      <c r="B82" s="5" t="s">
        <v>21</v>
      </c>
      <c r="C82" s="5" t="s">
        <v>240</v>
      </c>
      <c r="D82" s="5" t="s">
        <v>168</v>
      </c>
      <c r="E82" s="15" t="n">
        <v>4000000</v>
      </c>
      <c r="F82" s="15"/>
      <c r="G82" s="6" t="n">
        <f aca="false">IF(ISNUMBER(F82),F82,E82)</f>
        <v>4000000</v>
      </c>
      <c r="H82" s="5" t="s">
        <v>241</v>
      </c>
    </row>
    <row r="83" customFormat="false" ht="15" hidden="false" customHeight="true" outlineLevel="0" collapsed="false">
      <c r="A83" s="5" t="s">
        <v>242</v>
      </c>
      <c r="B83" s="5" t="s">
        <v>22</v>
      </c>
      <c r="C83" s="5" t="s">
        <v>243</v>
      </c>
      <c r="D83" s="5" t="s">
        <v>54</v>
      </c>
      <c r="E83" s="15" t="n">
        <v>90000</v>
      </c>
      <c r="F83" s="15"/>
      <c r="G83" s="6" t="n">
        <f aca="false">IF(ISNUMBER(F83),F83,E83)</f>
        <v>90000</v>
      </c>
      <c r="H83" s="5" t="s">
        <v>223</v>
      </c>
    </row>
    <row r="84" customFormat="false" ht="15" hidden="false" customHeight="true" outlineLevel="0" collapsed="false">
      <c r="A84" s="5" t="s">
        <v>244</v>
      </c>
      <c r="B84" s="5" t="s">
        <v>22</v>
      </c>
      <c r="C84" s="5" t="s">
        <v>245</v>
      </c>
      <c r="D84" s="5" t="s">
        <v>54</v>
      </c>
      <c r="E84" s="15" t="n">
        <v>4500000</v>
      </c>
      <c r="F84" s="15"/>
      <c r="G84" s="6" t="n">
        <f aca="false">IF(ISNUMBER(F84),F84,E84)</f>
        <v>4500000</v>
      </c>
      <c r="H84" s="5" t="s">
        <v>246</v>
      </c>
    </row>
    <row r="85" customFormat="false" ht="15" hidden="false" customHeight="true" outlineLevel="0" collapsed="false">
      <c r="A85" s="5" t="s">
        <v>247</v>
      </c>
      <c r="B85" s="5" t="s">
        <v>14</v>
      </c>
      <c r="C85" s="5" t="s">
        <v>248</v>
      </c>
      <c r="D85" s="5" t="s">
        <v>168</v>
      </c>
      <c r="E85" s="15" t="n">
        <v>1800000</v>
      </c>
      <c r="F85" s="15"/>
      <c r="G85" s="6" t="n">
        <f aca="false">IF(ISNUMBER(F85),F85,E85)</f>
        <v>1800000</v>
      </c>
      <c r="H85" s="5" t="s">
        <v>249</v>
      </c>
    </row>
    <row r="86" customFormat="false" ht="15" hidden="false" customHeight="true" outlineLevel="0" collapsed="false">
      <c r="A86" s="5" t="s">
        <v>250</v>
      </c>
      <c r="B86" s="5" t="s">
        <v>14</v>
      </c>
      <c r="C86" s="5" t="s">
        <v>251</v>
      </c>
      <c r="D86" s="5" t="s">
        <v>168</v>
      </c>
      <c r="E86" s="15" t="n">
        <v>600000</v>
      </c>
      <c r="F86" s="15"/>
      <c r="G86" s="6" t="n">
        <f aca="false">IF(ISNUMBER(F86),F86,E86)</f>
        <v>600000</v>
      </c>
      <c r="H86" s="5" t="s">
        <v>252</v>
      </c>
    </row>
    <row r="87" customFormat="false" ht="15" hidden="false" customHeight="true" outlineLevel="0" collapsed="false">
      <c r="A87" s="5" t="s">
        <v>253</v>
      </c>
      <c r="B87" s="5" t="s">
        <v>23</v>
      </c>
      <c r="C87" s="5" t="s">
        <v>254</v>
      </c>
      <c r="D87" s="5" t="s">
        <v>54</v>
      </c>
      <c r="E87" s="15" t="n">
        <v>2500000</v>
      </c>
      <c r="F87" s="15"/>
      <c r="G87" s="6" t="n">
        <f aca="false">IF(ISNUMBER(F87),F87,E87)</f>
        <v>2500000</v>
      </c>
      <c r="H87" s="5" t="s">
        <v>255</v>
      </c>
    </row>
    <row r="88" customFormat="false" ht="15" hidden="false" customHeight="true" outlineLevel="0" collapsed="false">
      <c r="A88" s="5" t="s">
        <v>256</v>
      </c>
      <c r="B88" s="5" t="s">
        <v>23</v>
      </c>
      <c r="C88" s="5" t="s">
        <v>257</v>
      </c>
      <c r="D88" s="5" t="s">
        <v>54</v>
      </c>
      <c r="E88" s="15" t="n">
        <v>800000</v>
      </c>
      <c r="F88" s="15"/>
      <c r="G88" s="6" t="n">
        <f aca="false">IF(ISNUMBER(F88),F88,E88)</f>
        <v>800000</v>
      </c>
      <c r="H88" s="5" t="s">
        <v>255</v>
      </c>
    </row>
    <row r="89" customFormat="false" ht="15" hidden="false" customHeight="true" outlineLevel="0" collapsed="false">
      <c r="A89" s="5" t="s">
        <v>258</v>
      </c>
      <c r="B89" s="5" t="s">
        <v>23</v>
      </c>
      <c r="C89" s="5" t="s">
        <v>259</v>
      </c>
      <c r="D89" s="5" t="s">
        <v>54</v>
      </c>
      <c r="E89" s="15" t="n">
        <v>1500000</v>
      </c>
      <c r="F89" s="15"/>
      <c r="G89" s="6" t="n">
        <f aca="false">IF(ISNUMBER(F89),F89,E89)</f>
        <v>1500000</v>
      </c>
      <c r="H89" s="5" t="s">
        <v>255</v>
      </c>
    </row>
    <row r="90" customFormat="false" ht="15" hidden="false" customHeight="true" outlineLevel="0" collapsed="false">
      <c r="A90" s="5" t="s">
        <v>260</v>
      </c>
      <c r="B90" s="5" t="s">
        <v>23</v>
      </c>
      <c r="C90" s="5" t="s">
        <v>261</v>
      </c>
      <c r="D90" s="5" t="s">
        <v>168</v>
      </c>
      <c r="E90" s="15" t="n">
        <v>380000</v>
      </c>
      <c r="F90" s="15"/>
      <c r="G90" s="6" t="n">
        <f aca="false">IF(ISNUMBER(F90),F90,E90)</f>
        <v>380000</v>
      </c>
      <c r="H90" s="5" t="s">
        <v>262</v>
      </c>
    </row>
    <row r="91" customFormat="false" ht="15" hidden="false" customHeight="true" outlineLevel="0" collapsed="false">
      <c r="A91" s="5" t="s">
        <v>263</v>
      </c>
      <c r="B91" s="5" t="s">
        <v>24</v>
      </c>
      <c r="C91" s="5" t="s">
        <v>264</v>
      </c>
      <c r="D91" s="5" t="s">
        <v>54</v>
      </c>
      <c r="E91" s="15" t="n">
        <v>6000000</v>
      </c>
      <c r="F91" s="15"/>
      <c r="G91" s="6" t="n">
        <f aca="false">IF(ISNUMBER(F91),F91,E91)</f>
        <v>6000000</v>
      </c>
      <c r="H91" s="5" t="s">
        <v>265</v>
      </c>
    </row>
    <row r="92" customFormat="false" ht="15" hidden="false" customHeight="true" outlineLevel="0" collapsed="false">
      <c r="A92" s="5" t="s">
        <v>266</v>
      </c>
      <c r="B92" s="5" t="s">
        <v>16</v>
      </c>
      <c r="C92" s="5" t="s">
        <v>267</v>
      </c>
      <c r="D92" s="5" t="s">
        <v>168</v>
      </c>
      <c r="E92" s="15" t="n">
        <v>1000000</v>
      </c>
      <c r="F92" s="15"/>
      <c r="G92" s="6" t="n">
        <f aca="false">IF(ISNUMBER(F92),F92,E92)</f>
        <v>1000000</v>
      </c>
      <c r="H92" s="5" t="s">
        <v>268</v>
      </c>
    </row>
    <row r="93" customFormat="false" ht="15" hidden="false" customHeight="true" outlineLevel="0" collapsed="false">
      <c r="A93" s="11" t="s">
        <v>269</v>
      </c>
      <c r="B93" s="11" t="s">
        <v>24</v>
      </c>
      <c r="C93" s="11" t="s">
        <v>270</v>
      </c>
      <c r="D93" s="11" t="s">
        <v>54</v>
      </c>
      <c r="E93" s="16" t="n">
        <v>4500000</v>
      </c>
      <c r="F93" s="17"/>
      <c r="G93" s="18" t="n">
        <f aca="false">IF(ISNUMBER(F93),F93,E93)</f>
        <v>4500000</v>
      </c>
      <c r="H93" s="11" t="s">
        <v>271</v>
      </c>
    </row>
    <row r="94" customFormat="false" ht="15" hidden="false" customHeight="false" outlineLevel="0" collapsed="false">
      <c r="A94" s="11" t="s">
        <v>272</v>
      </c>
      <c r="B94" s="11" t="s">
        <v>20</v>
      </c>
      <c r="C94" s="11" t="s">
        <v>273</v>
      </c>
      <c r="D94" s="11" t="s">
        <v>54</v>
      </c>
      <c r="E94" s="16" t="n">
        <v>3500000</v>
      </c>
      <c r="F94" s="17"/>
      <c r="G94" s="18" t="n">
        <f aca="false">IF(ISNUMBER(F94),F94,E94)</f>
        <v>3500000</v>
      </c>
      <c r="H94" s="11" t="s">
        <v>208</v>
      </c>
    </row>
    <row r="95" customFormat="false" ht="15" hidden="false" customHeight="false" outlineLevel="0" collapsed="false">
      <c r="A95" s="11" t="s">
        <v>274</v>
      </c>
      <c r="B95" s="11" t="s">
        <v>20</v>
      </c>
      <c r="C95" s="11" t="s">
        <v>275</v>
      </c>
      <c r="D95" s="11" t="s">
        <v>54</v>
      </c>
      <c r="E95" s="16" t="n">
        <v>1500000</v>
      </c>
      <c r="F95" s="17"/>
      <c r="G95" s="18" t="n">
        <f aca="false">IF(ISNUMBER(F95),F95,E95)</f>
        <v>1500000</v>
      </c>
      <c r="H95" s="11" t="s">
        <v>223</v>
      </c>
    </row>
    <row r="96" customFormat="false" ht="15" hidden="false" customHeight="false" outlineLevel="0" collapsed="false">
      <c r="A96" s="11" t="s">
        <v>276</v>
      </c>
      <c r="B96" s="11" t="s">
        <v>20</v>
      </c>
      <c r="C96" s="11" t="s">
        <v>277</v>
      </c>
      <c r="D96" s="11" t="s">
        <v>54</v>
      </c>
      <c r="E96" s="16" t="n">
        <v>2500000</v>
      </c>
      <c r="F96" s="17"/>
      <c r="G96" s="18" t="n">
        <f aca="false">IF(ISNUMBER(F96),F96,E96)</f>
        <v>2500000</v>
      </c>
      <c r="H96" s="11" t="s">
        <v>223</v>
      </c>
    </row>
    <row r="97" customFormat="false" ht="15" hidden="false" customHeight="false" outlineLevel="0" collapsed="false">
      <c r="A97" s="11" t="s">
        <v>278</v>
      </c>
      <c r="B97" s="11" t="s">
        <v>14</v>
      </c>
      <c r="C97" s="11" t="s">
        <v>279</v>
      </c>
      <c r="D97" s="11" t="s">
        <v>54</v>
      </c>
      <c r="E97" s="16" t="n">
        <v>4000000</v>
      </c>
      <c r="F97" s="17"/>
      <c r="G97" s="18" t="n">
        <f aca="false">IF(ISNUMBER(F97),F97,E97)</f>
        <v>4000000</v>
      </c>
      <c r="H97" s="11" t="s">
        <v>280</v>
      </c>
    </row>
    <row r="98" customFormat="false" ht="15" hidden="false" customHeight="false" outlineLevel="0" collapsed="false">
      <c r="A98" s="11" t="s">
        <v>281</v>
      </c>
      <c r="B98" s="11" t="s">
        <v>14</v>
      </c>
      <c r="C98" s="11" t="s">
        <v>282</v>
      </c>
      <c r="D98" s="11" t="s">
        <v>54</v>
      </c>
      <c r="E98" s="16" t="n">
        <v>2500000</v>
      </c>
      <c r="F98" s="17"/>
      <c r="G98" s="18" t="n">
        <f aca="false">IF(ISNUMBER(F98),F98,E98)</f>
        <v>2500000</v>
      </c>
      <c r="H98" s="11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2" t="s">
        <v>283</v>
      </c>
    </row>
    <row r="2" customFormat="false" ht="15" hidden="false" customHeight="true" outlineLevel="0" collapsed="false">
      <c r="A2" s="3" t="s">
        <v>284</v>
      </c>
    </row>
    <row r="4" customFormat="false" ht="30" hidden="false" customHeight="true" outlineLevel="0" collapsed="false">
      <c r="A4" s="4" t="s">
        <v>285</v>
      </c>
      <c r="B4" s="4" t="s">
        <v>2</v>
      </c>
      <c r="C4" s="4" t="s">
        <v>46</v>
      </c>
      <c r="D4" s="4" t="s">
        <v>286</v>
      </c>
      <c r="E4" s="4" t="s">
        <v>47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291</v>
      </c>
      <c r="K4" s="4" t="s">
        <v>292</v>
      </c>
      <c r="L4" s="4" t="s">
        <v>293</v>
      </c>
    </row>
    <row r="5" customFormat="false" ht="23.25" hidden="false" customHeight="true" outlineLevel="0" collapsed="false">
      <c r="A5" s="19" t="n">
        <v>1</v>
      </c>
      <c r="B5" s="19" t="s">
        <v>17</v>
      </c>
      <c r="C5" s="20" t="s">
        <v>294</v>
      </c>
      <c r="D5" s="20" t="s">
        <v>295</v>
      </c>
      <c r="E5" s="19" t="s">
        <v>54</v>
      </c>
      <c r="F5" s="21" t="n">
        <v>1</v>
      </c>
      <c r="G5" s="19" t="s">
        <v>197</v>
      </c>
      <c r="H5" s="22"/>
      <c r="I5" s="23" t="n">
        <f aca="false">IF(ISNUMBER(H5),H5,IF(G5&lt;&gt;"",IFERROR(INDEX(Прайс!$G$5:$G$150,MATCH(G5,Прайс!$A$5:$A$150,0)),""),""))</f>
        <v>20000000</v>
      </c>
      <c r="J5" s="24" t="n">
        <f aca="false">IF(AND(ISNUMBER(F5),ISNUMBER(I5)),F5*I5,"")</f>
        <v>20000000</v>
      </c>
      <c r="K5" s="19" t="s">
        <v>296</v>
      </c>
      <c r="L5" s="20" t="s">
        <v>297</v>
      </c>
    </row>
    <row r="6" customFormat="false" ht="23.25" hidden="false" customHeight="true" outlineLevel="0" collapsed="false">
      <c r="A6" s="19" t="n">
        <v>2</v>
      </c>
      <c r="B6" s="19" t="s">
        <v>17</v>
      </c>
      <c r="C6" s="20" t="s">
        <v>298</v>
      </c>
      <c r="D6" s="20" t="s">
        <v>299</v>
      </c>
      <c r="E6" s="19" t="s">
        <v>102</v>
      </c>
      <c r="F6" s="25" t="n">
        <v>1.4</v>
      </c>
      <c r="G6" s="19" t="s">
        <v>200</v>
      </c>
      <c r="H6" s="22"/>
      <c r="I6" s="23" t="n">
        <f aca="false">IF(ISNUMBER(H6),H6,IF(G6&lt;&gt;"",IFERROR(INDEX(Прайс!$G$5:$G$150,MATCH(G6,Прайс!$A$5:$A$150,0)),""),""))</f>
        <v>3500000</v>
      </c>
      <c r="J6" s="24" t="n">
        <f aca="false">IF(AND(ISNUMBER(F6),ISNUMBER(I6)),F6*I6,"")</f>
        <v>4900000</v>
      </c>
      <c r="K6" s="19" t="s">
        <v>296</v>
      </c>
      <c r="L6" s="20" t="s">
        <v>300</v>
      </c>
    </row>
    <row r="7" customFormat="false" ht="23.25" hidden="false" customHeight="true" outlineLevel="0" collapsed="false">
      <c r="A7" s="19" t="n">
        <v>3</v>
      </c>
      <c r="B7" s="19" t="s">
        <v>17</v>
      </c>
      <c r="C7" s="20" t="s">
        <v>301</v>
      </c>
      <c r="D7" s="20" t="s">
        <v>302</v>
      </c>
      <c r="E7" s="19" t="s">
        <v>102</v>
      </c>
      <c r="F7" s="25" t="n">
        <v>1.77</v>
      </c>
      <c r="G7" s="19" t="s">
        <v>200</v>
      </c>
      <c r="H7" s="22"/>
      <c r="I7" s="23" t="n">
        <f aca="false">IF(ISNUMBER(H7),H7,IF(G7&lt;&gt;"",IFERROR(INDEX(Прайс!$G$5:$G$150,MATCH(G7,Прайс!$A$5:$A$150,0)),""),""))</f>
        <v>3500000</v>
      </c>
      <c r="J7" s="24" t="n">
        <f aca="false">IF(AND(ISNUMBER(F7),ISNUMBER(I7)),F7*I7,"")</f>
        <v>6195000</v>
      </c>
      <c r="K7" s="19" t="s">
        <v>296</v>
      </c>
      <c r="L7" s="20" t="s">
        <v>303</v>
      </c>
    </row>
    <row r="8" customFormat="false" ht="23.25" hidden="false" customHeight="true" outlineLevel="0" collapsed="false">
      <c r="A8" s="19" t="n">
        <v>4</v>
      </c>
      <c r="B8" s="19" t="s">
        <v>17</v>
      </c>
      <c r="C8" s="20" t="s">
        <v>304</v>
      </c>
      <c r="D8" s="20" t="s">
        <v>305</v>
      </c>
      <c r="E8" s="19" t="s">
        <v>102</v>
      </c>
      <c r="F8" s="25" t="n">
        <v>0.4</v>
      </c>
      <c r="G8" s="19" t="s">
        <v>200</v>
      </c>
      <c r="H8" s="22"/>
      <c r="I8" s="23" t="n">
        <f aca="false">IF(ISNUMBER(H8),H8,IF(G8&lt;&gt;"",IFERROR(INDEX(Прайс!$G$5:$G$150,MATCH(G8,Прайс!$A$5:$A$150,0)),""),""))</f>
        <v>3500000</v>
      </c>
      <c r="J8" s="24" t="n">
        <f aca="false">IF(AND(ISNUMBER(F8),ISNUMBER(I8)),F8*I8,"")</f>
        <v>1400000</v>
      </c>
      <c r="K8" s="19" t="s">
        <v>296</v>
      </c>
      <c r="L8" s="20" t="s">
        <v>306</v>
      </c>
    </row>
    <row r="9" customFormat="false" ht="23.25" hidden="false" customHeight="true" outlineLevel="0" collapsed="false">
      <c r="A9" s="26" t="n">
        <v>5</v>
      </c>
      <c r="B9" s="26" t="s">
        <v>17</v>
      </c>
      <c r="C9" s="27" t="s">
        <v>307</v>
      </c>
      <c r="D9" s="27" t="s">
        <v>308</v>
      </c>
      <c r="E9" s="26" t="s">
        <v>102</v>
      </c>
      <c r="F9" s="28" t="n">
        <v>3.15</v>
      </c>
      <c r="G9" s="26" t="s">
        <v>206</v>
      </c>
      <c r="H9" s="29" t="n">
        <v>0</v>
      </c>
      <c r="I9" s="30" t="n">
        <f aca="false">IF(ISNUMBER(H9),H9,IF(G9&lt;&gt;"",IFERROR(INDEX(Прайс!$G$5:$G$150,MATCH(G9,Прайс!$A$5:$A$150,0)),""),""))</f>
        <v>0</v>
      </c>
      <c r="J9" s="31" t="n">
        <f aca="false">IF(AND(ISNUMBER(F9),ISNUMBER(I9)),F9*I9,"")</f>
        <v>0</v>
      </c>
      <c r="K9" s="26" t="s">
        <v>309</v>
      </c>
      <c r="L9" s="27" t="s">
        <v>310</v>
      </c>
    </row>
    <row r="10" customFormat="false" ht="23.25" hidden="false" customHeight="true" outlineLevel="0" collapsed="false">
      <c r="A10" s="19" t="n">
        <v>6</v>
      </c>
      <c r="B10" s="19" t="s">
        <v>17</v>
      </c>
      <c r="C10" s="20" t="s">
        <v>311</v>
      </c>
      <c r="D10" s="20" t="s">
        <v>312</v>
      </c>
      <c r="E10" s="19" t="s">
        <v>102</v>
      </c>
      <c r="F10" s="25" t="n">
        <v>2</v>
      </c>
      <c r="G10" s="19" t="s">
        <v>203</v>
      </c>
      <c r="H10" s="22"/>
      <c r="I10" s="23" t="n">
        <f aca="false">IF(ISNUMBER(H10),H10,IF(G10&lt;&gt;"",IFERROR(INDEX(Прайс!$G$5:$G$150,MATCH(G10,Прайс!$A$5:$A$150,0)),""),""))</f>
        <v>4500000</v>
      </c>
      <c r="J10" s="24" t="n">
        <f aca="false">IF(AND(ISNUMBER(F10),ISNUMBER(I10)),F10*I10,"")</f>
        <v>9000000</v>
      </c>
      <c r="K10" s="19" t="s">
        <v>296</v>
      </c>
      <c r="L10" s="20" t="s">
        <v>313</v>
      </c>
    </row>
    <row r="11" customFormat="false" ht="15" hidden="false" customHeight="true" outlineLevel="0" collapsed="false">
      <c r="A11" s="19" t="n">
        <v>7</v>
      </c>
      <c r="B11" s="19" t="s">
        <v>17</v>
      </c>
      <c r="C11" s="20" t="s">
        <v>314</v>
      </c>
      <c r="D11" s="20" t="s">
        <v>315</v>
      </c>
      <c r="E11" s="19" t="s">
        <v>102</v>
      </c>
      <c r="F11" s="25" t="n">
        <v>1.5</v>
      </c>
      <c r="G11" s="19" t="s">
        <v>200</v>
      </c>
      <c r="H11" s="22"/>
      <c r="I11" s="23" t="n">
        <f aca="false">IF(ISNUMBER(H11),H11,IF(G11&lt;&gt;"",IFERROR(INDEX(Прайс!$G$5:$G$150,MATCH(G11,Прайс!$A$5:$A$150,0)),""),""))</f>
        <v>3500000</v>
      </c>
      <c r="J11" s="24" t="n">
        <f aca="false">IF(AND(ISNUMBER(F11),ISNUMBER(I11)),F11*I11,"")</f>
        <v>5250000</v>
      </c>
      <c r="K11" s="19" t="s">
        <v>296</v>
      </c>
      <c r="L11" s="20" t="s">
        <v>316</v>
      </c>
    </row>
    <row r="12" customFormat="false" ht="15" hidden="false" customHeight="true" outlineLevel="0" collapsed="false">
      <c r="A12" s="19" t="n">
        <v>8</v>
      </c>
      <c r="B12" s="19" t="s">
        <v>17</v>
      </c>
      <c r="C12" s="20" t="s">
        <v>317</v>
      </c>
      <c r="D12" s="20" t="s">
        <v>318</v>
      </c>
      <c r="E12" s="19" t="s">
        <v>102</v>
      </c>
      <c r="F12" s="25" t="n">
        <v>3.15</v>
      </c>
      <c r="G12" s="19" t="s">
        <v>200</v>
      </c>
      <c r="H12" s="22"/>
      <c r="I12" s="23" t="n">
        <f aca="false">IF(ISNUMBER(H12),H12,IF(G12&lt;&gt;"",IFERROR(INDEX(Прайс!$G$5:$G$150,MATCH(G12,Прайс!$A$5:$A$150,0)),""),""))</f>
        <v>3500000</v>
      </c>
      <c r="J12" s="24" t="n">
        <f aca="false">IF(AND(ISNUMBER(F12),ISNUMBER(I12)),F12*I12,"")</f>
        <v>11025000</v>
      </c>
      <c r="K12" s="19" t="s">
        <v>296</v>
      </c>
      <c r="L12" s="20" t="s">
        <v>319</v>
      </c>
    </row>
    <row r="13" customFormat="false" ht="15" hidden="false" customHeight="true" outlineLevel="0" collapsed="false">
      <c r="A13" s="19" t="n">
        <v>9</v>
      </c>
      <c r="B13" s="19" t="s">
        <v>17</v>
      </c>
      <c r="C13" s="20" t="s">
        <v>320</v>
      </c>
      <c r="D13" s="20" t="s">
        <v>321</v>
      </c>
      <c r="E13" s="19" t="s">
        <v>54</v>
      </c>
      <c r="F13" s="21" t="n">
        <v>1</v>
      </c>
      <c r="G13" s="19" t="s">
        <v>209</v>
      </c>
      <c r="H13" s="22"/>
      <c r="I13" s="23" t="n">
        <f aca="false">IF(ISNUMBER(H13),H13,IF(G13&lt;&gt;"",IFERROR(INDEX(Прайс!$G$5:$G$150,MATCH(G13,Прайс!$A$5:$A$150,0)),""),""))</f>
        <v>3000000</v>
      </c>
      <c r="J13" s="24" t="n">
        <f aca="false">IF(AND(ISNUMBER(F13),ISNUMBER(I13)),F13*I13,"")</f>
        <v>3000000</v>
      </c>
      <c r="K13" s="19" t="s">
        <v>296</v>
      </c>
      <c r="L13" s="20" t="s">
        <v>322</v>
      </c>
    </row>
    <row r="14" customFormat="false" ht="23.25" hidden="false" customHeight="true" outlineLevel="0" collapsed="false">
      <c r="A14" s="19" t="n">
        <v>10</v>
      </c>
      <c r="B14" s="19" t="s">
        <v>17</v>
      </c>
      <c r="C14" s="20" t="s">
        <v>323</v>
      </c>
      <c r="D14" s="20" t="s">
        <v>324</v>
      </c>
      <c r="E14" s="19" t="s">
        <v>102</v>
      </c>
      <c r="F14" s="25" t="n">
        <v>4.6</v>
      </c>
      <c r="G14" s="19" t="s">
        <v>203</v>
      </c>
      <c r="H14" s="22"/>
      <c r="I14" s="23" t="n">
        <f aca="false">IF(ISNUMBER(H14),H14,IF(G14&lt;&gt;"",IFERROR(INDEX(Прайс!$G$5:$G$150,MATCH(G14,Прайс!$A$5:$A$150,0)),""),""))</f>
        <v>4500000</v>
      </c>
      <c r="J14" s="24" t="n">
        <f aca="false">IF(AND(ISNUMBER(F14),ISNUMBER(I14)),F14*I14,"")</f>
        <v>20700000</v>
      </c>
      <c r="K14" s="19" t="s">
        <v>296</v>
      </c>
      <c r="L14" s="20" t="s">
        <v>325</v>
      </c>
    </row>
    <row r="15" customFormat="false" ht="45.75" hidden="false" customHeight="true" outlineLevel="0" collapsed="false">
      <c r="A15" s="19" t="n">
        <v>11</v>
      </c>
      <c r="B15" s="19" t="s">
        <v>17</v>
      </c>
      <c r="C15" s="20" t="s">
        <v>326</v>
      </c>
      <c r="D15" s="20" t="s">
        <v>327</v>
      </c>
      <c r="E15" s="19" t="s">
        <v>54</v>
      </c>
      <c r="F15" s="21" t="n">
        <v>4</v>
      </c>
      <c r="G15" s="19" t="s">
        <v>211</v>
      </c>
      <c r="H15" s="22"/>
      <c r="I15" s="23" t="n">
        <f aca="false">IF(ISNUMBER(H15),H15,IF(G15&lt;&gt;"",IFERROR(INDEX(Прайс!$G$5:$G$150,MATCH(G15,Прайс!$A$5:$A$150,0)),""),""))</f>
        <v>5000000</v>
      </c>
      <c r="J15" s="24" t="n">
        <f aca="false">IF(AND(ISNUMBER(F15),ISNUMBER(I15)),F15*I15,"")</f>
        <v>20000000</v>
      </c>
      <c r="K15" s="19" t="s">
        <v>328</v>
      </c>
      <c r="L15" s="20" t="s">
        <v>329</v>
      </c>
    </row>
    <row r="16" customFormat="false" ht="23.25" hidden="false" customHeight="true" outlineLevel="0" collapsed="false">
      <c r="A16" s="19" t="n">
        <v>12</v>
      </c>
      <c r="B16" s="19" t="s">
        <v>17</v>
      </c>
      <c r="C16" s="20" t="s">
        <v>330</v>
      </c>
      <c r="D16" s="20" t="s">
        <v>331</v>
      </c>
      <c r="E16" s="19" t="s">
        <v>102</v>
      </c>
      <c r="F16" s="25" t="n">
        <v>1.8</v>
      </c>
      <c r="G16" s="19" t="s">
        <v>206</v>
      </c>
      <c r="H16" s="22"/>
      <c r="I16" s="23" t="n">
        <f aca="false">IF(ISNUMBER(H16),H16,IF(G16&lt;&gt;"",IFERROR(INDEX(Прайс!$G$5:$G$150,MATCH(G16,Прайс!$A$5:$A$150,0)),""),""))</f>
        <v>2500000</v>
      </c>
      <c r="J16" s="24" t="n">
        <f aca="false">IF(AND(ISNUMBER(F16),ISNUMBER(I16)),F16*I16,"")</f>
        <v>4500000</v>
      </c>
      <c r="K16" s="19" t="s">
        <v>332</v>
      </c>
      <c r="L16" s="20" t="s">
        <v>333</v>
      </c>
    </row>
    <row r="17" customFormat="false" ht="23.25" hidden="false" customHeight="true" outlineLevel="0" collapsed="false">
      <c r="A17" s="19" t="n">
        <v>13</v>
      </c>
      <c r="B17" s="19" t="s">
        <v>17</v>
      </c>
      <c r="C17" s="20" t="s">
        <v>334</v>
      </c>
      <c r="D17" s="20" t="s">
        <v>335</v>
      </c>
      <c r="E17" s="19" t="s">
        <v>102</v>
      </c>
      <c r="F17" s="25" t="n">
        <v>3</v>
      </c>
      <c r="G17" s="19" t="s">
        <v>200</v>
      </c>
      <c r="H17" s="22"/>
      <c r="I17" s="23" t="n">
        <f aca="false">IF(ISNUMBER(H17),H17,IF(G17&lt;&gt;"",IFERROR(INDEX(Прайс!$G$5:$G$150,MATCH(G17,Прайс!$A$5:$A$150,0)),""),""))</f>
        <v>3500000</v>
      </c>
      <c r="J17" s="24" t="n">
        <f aca="false">IF(AND(ISNUMBER(F17),ISNUMBER(I17)),F17*I17,"")</f>
        <v>10500000</v>
      </c>
      <c r="K17" s="19" t="s">
        <v>328</v>
      </c>
      <c r="L17" s="20" t="s">
        <v>336</v>
      </c>
    </row>
    <row r="18" customFormat="false" ht="23.25" hidden="false" customHeight="true" outlineLevel="0" collapsed="false">
      <c r="A18" s="26" t="n">
        <v>14</v>
      </c>
      <c r="B18" s="26" t="s">
        <v>17</v>
      </c>
      <c r="C18" s="27" t="s">
        <v>337</v>
      </c>
      <c r="D18" s="27" t="s">
        <v>338</v>
      </c>
      <c r="E18" s="26" t="s">
        <v>54</v>
      </c>
      <c r="F18" s="28" t="n">
        <v>1</v>
      </c>
      <c r="G18" s="26" t="s">
        <v>214</v>
      </c>
      <c r="H18" s="29" t="n">
        <v>0</v>
      </c>
      <c r="I18" s="30" t="n">
        <f aca="false">IF(ISNUMBER(H18),H18,IF(G18&lt;&gt;"",IFERROR(INDEX(Прайс!$G$5:$G$150,MATCH(G18,Прайс!$A$5:$A$150,0)),""),""))</f>
        <v>0</v>
      </c>
      <c r="J18" s="31" t="n">
        <f aca="false">IF(AND(ISNUMBER(F18),ISNUMBER(I18)),F18*I18,"")</f>
        <v>0</v>
      </c>
      <c r="K18" s="26" t="s">
        <v>339</v>
      </c>
      <c r="L18" s="27" t="s">
        <v>340</v>
      </c>
    </row>
    <row r="19" customFormat="false" ht="23.25" hidden="false" customHeight="true" outlineLevel="0" collapsed="false">
      <c r="A19" s="19" t="n">
        <v>15</v>
      </c>
      <c r="B19" s="19" t="s">
        <v>17</v>
      </c>
      <c r="C19" s="20" t="s">
        <v>341</v>
      </c>
      <c r="D19" s="20" t="s">
        <v>342</v>
      </c>
      <c r="E19" s="19" t="s">
        <v>102</v>
      </c>
      <c r="F19" s="25" t="n">
        <v>1.8</v>
      </c>
      <c r="G19" s="19" t="s">
        <v>200</v>
      </c>
      <c r="H19" s="22"/>
      <c r="I19" s="23" t="n">
        <f aca="false">IF(ISNUMBER(H19),H19,IF(G19&lt;&gt;"",IFERROR(INDEX(Прайс!$G$5:$G$150,MATCH(G19,Прайс!$A$5:$A$150,0)),""),""))</f>
        <v>3500000</v>
      </c>
      <c r="J19" s="24" t="n">
        <f aca="false">IF(AND(ISNUMBER(F19),ISNUMBER(I19)),F19*I19,"")</f>
        <v>6300000</v>
      </c>
      <c r="K19" s="19" t="s">
        <v>296</v>
      </c>
      <c r="L19" s="20" t="s">
        <v>343</v>
      </c>
    </row>
    <row r="20" customFormat="false" ht="34.5" hidden="false" customHeight="true" outlineLevel="0" collapsed="false">
      <c r="A20" s="26" t="n">
        <v>16</v>
      </c>
      <c r="B20" s="26" t="s">
        <v>18</v>
      </c>
      <c r="C20" s="27" t="s">
        <v>344</v>
      </c>
      <c r="D20" s="27" t="s">
        <v>345</v>
      </c>
      <c r="E20" s="26" t="s">
        <v>54</v>
      </c>
      <c r="F20" s="28" t="n">
        <v>1</v>
      </c>
      <c r="G20" s="26" t="s">
        <v>216</v>
      </c>
      <c r="H20" s="29" t="n">
        <v>0</v>
      </c>
      <c r="I20" s="30" t="n">
        <f aca="false">IF(ISNUMBER(H20),H20,IF(G20&lt;&gt;"",IFERROR(INDEX(Прайс!$G$5:$G$150,MATCH(G20,Прайс!$A$5:$A$150,0)),""),""))</f>
        <v>0</v>
      </c>
      <c r="J20" s="31" t="n">
        <f aca="false">IF(AND(ISNUMBER(F20),ISNUMBER(I20)),F20*I20,"")</f>
        <v>0</v>
      </c>
      <c r="K20" s="26" t="s">
        <v>309</v>
      </c>
      <c r="L20" s="27" t="s">
        <v>346</v>
      </c>
    </row>
    <row r="21" customFormat="false" ht="23.25" hidden="false" customHeight="true" outlineLevel="0" collapsed="false">
      <c r="A21" s="26" t="n">
        <v>17</v>
      </c>
      <c r="B21" s="26" t="s">
        <v>18</v>
      </c>
      <c r="C21" s="27" t="s">
        <v>347</v>
      </c>
      <c r="D21" s="27" t="s">
        <v>348</v>
      </c>
      <c r="E21" s="26" t="s">
        <v>54</v>
      </c>
      <c r="F21" s="28" t="n">
        <v>1</v>
      </c>
      <c r="G21" s="26" t="s">
        <v>218</v>
      </c>
      <c r="H21" s="29" t="n">
        <v>0</v>
      </c>
      <c r="I21" s="30" t="n">
        <f aca="false">IF(ISNUMBER(H21),H21,IF(G21&lt;&gt;"",IFERROR(INDEX(Прайс!$G$5:$G$150,MATCH(G21,Прайс!$A$5:$A$150,0)),""),""))</f>
        <v>0</v>
      </c>
      <c r="J21" s="31" t="n">
        <f aca="false">IF(AND(ISNUMBER(F21),ISNUMBER(I21)),F21*I21,"")</f>
        <v>0</v>
      </c>
      <c r="K21" s="26" t="s">
        <v>309</v>
      </c>
      <c r="L21" s="27" t="s">
        <v>349</v>
      </c>
    </row>
    <row r="22" customFormat="false" ht="23.25" hidden="false" customHeight="true" outlineLevel="0" collapsed="false">
      <c r="A22" s="26" t="n">
        <v>18</v>
      </c>
      <c r="B22" s="26" t="s">
        <v>19</v>
      </c>
      <c r="C22" s="27" t="s">
        <v>222</v>
      </c>
      <c r="D22" s="27" t="s">
        <v>350</v>
      </c>
      <c r="E22" s="26" t="s">
        <v>54</v>
      </c>
      <c r="F22" s="28" t="n">
        <v>4</v>
      </c>
      <c r="G22" s="26" t="s">
        <v>221</v>
      </c>
      <c r="H22" s="29" t="n">
        <v>0</v>
      </c>
      <c r="I22" s="30" t="n">
        <f aca="false">IF(ISNUMBER(H22),H22,IF(G22&lt;&gt;"",IFERROR(INDEX(Прайс!$G$5:$G$150,MATCH(G22,Прайс!$A$5:$A$150,0)),""),""))</f>
        <v>0</v>
      </c>
      <c r="J22" s="31" t="n">
        <f aca="false">IF(AND(ISNUMBER(F22),ISNUMBER(I22)),F22*I22,"")</f>
        <v>0</v>
      </c>
      <c r="K22" s="26" t="s">
        <v>309</v>
      </c>
      <c r="L22" s="27" t="s">
        <v>351</v>
      </c>
    </row>
    <row r="23" customFormat="false" ht="23.25" hidden="false" customHeight="true" outlineLevel="0" collapsed="false">
      <c r="A23" s="26" t="n">
        <v>19</v>
      </c>
      <c r="B23" s="26" t="s">
        <v>19</v>
      </c>
      <c r="C23" s="27" t="s">
        <v>352</v>
      </c>
      <c r="D23" s="27" t="s">
        <v>353</v>
      </c>
      <c r="E23" s="26" t="s">
        <v>54</v>
      </c>
      <c r="F23" s="28" t="n">
        <v>1</v>
      </c>
      <c r="G23" s="26" t="s">
        <v>224</v>
      </c>
      <c r="H23" s="29" t="n">
        <v>0</v>
      </c>
      <c r="I23" s="30" t="n">
        <f aca="false">IF(ISNUMBER(H23),H23,IF(G23&lt;&gt;"",IFERROR(INDEX(Прайс!$G$5:$G$150,MATCH(G23,Прайс!$A$5:$A$150,0)),""),""))</f>
        <v>0</v>
      </c>
      <c r="J23" s="31" t="n">
        <f aca="false">IF(AND(ISNUMBER(F23),ISNUMBER(I23)),F23*I23,"")</f>
        <v>0</v>
      </c>
      <c r="K23" s="26" t="s">
        <v>309</v>
      </c>
      <c r="L23" s="27" t="s">
        <v>354</v>
      </c>
    </row>
    <row r="24" customFormat="false" ht="23.25" hidden="false" customHeight="true" outlineLevel="0" collapsed="false">
      <c r="A24" s="26" t="n">
        <v>20</v>
      </c>
      <c r="B24" s="26" t="s">
        <v>19</v>
      </c>
      <c r="C24" s="27" t="s">
        <v>352</v>
      </c>
      <c r="D24" s="27" t="s">
        <v>355</v>
      </c>
      <c r="E24" s="26" t="s">
        <v>54</v>
      </c>
      <c r="F24" s="28" t="n">
        <v>1</v>
      </c>
      <c r="G24" s="26" t="s">
        <v>224</v>
      </c>
      <c r="H24" s="29" t="n">
        <v>0</v>
      </c>
      <c r="I24" s="30" t="n">
        <f aca="false">IF(ISNUMBER(H24),H24,IF(G24&lt;&gt;"",IFERROR(INDEX(Прайс!$G$5:$G$150,MATCH(G24,Прайс!$A$5:$A$150,0)),""),""))</f>
        <v>0</v>
      </c>
      <c r="J24" s="31" t="n">
        <f aca="false">IF(AND(ISNUMBER(F24),ISNUMBER(I24)),F24*I24,"")</f>
        <v>0</v>
      </c>
      <c r="K24" s="26" t="s">
        <v>309</v>
      </c>
      <c r="L24" s="27" t="s">
        <v>354</v>
      </c>
    </row>
    <row r="25" customFormat="false" ht="23.25" hidden="false" customHeight="true" outlineLevel="0" collapsed="false">
      <c r="A25" s="26" t="n">
        <v>21</v>
      </c>
      <c r="B25" s="26" t="s">
        <v>19</v>
      </c>
      <c r="C25" s="27" t="s">
        <v>356</v>
      </c>
      <c r="D25" s="27" t="s">
        <v>357</v>
      </c>
      <c r="E25" s="26" t="s">
        <v>54</v>
      </c>
      <c r="F25" s="28" t="n">
        <v>2</v>
      </c>
      <c r="G25" s="26" t="s">
        <v>226</v>
      </c>
      <c r="H25" s="29" t="n">
        <v>0</v>
      </c>
      <c r="I25" s="30" t="n">
        <f aca="false">IF(ISNUMBER(H25),H25,IF(G25&lt;&gt;"",IFERROR(INDEX(Прайс!$G$5:$G$150,MATCH(G25,Прайс!$A$5:$A$150,0)),""),""))</f>
        <v>0</v>
      </c>
      <c r="J25" s="31" t="n">
        <f aca="false">IF(AND(ISNUMBER(F25),ISNUMBER(I25)),F25*I25,"")</f>
        <v>0</v>
      </c>
      <c r="K25" s="26" t="s">
        <v>309</v>
      </c>
      <c r="L25" s="27" t="s">
        <v>358</v>
      </c>
    </row>
    <row r="26" customFormat="false" ht="23.25" hidden="false" customHeight="true" outlineLevel="0" collapsed="false">
      <c r="A26" s="26" t="n">
        <v>22</v>
      </c>
      <c r="B26" s="26" t="s">
        <v>19</v>
      </c>
      <c r="C26" s="27" t="s">
        <v>359</v>
      </c>
      <c r="D26" s="27" t="s">
        <v>360</v>
      </c>
      <c r="E26" s="26" t="s">
        <v>54</v>
      </c>
      <c r="F26" s="28" t="n">
        <v>18</v>
      </c>
      <c r="G26" s="26" t="s">
        <v>228</v>
      </c>
      <c r="H26" s="29" t="n">
        <v>0</v>
      </c>
      <c r="I26" s="30" t="n">
        <f aca="false">IF(ISNUMBER(H26),H26,IF(G26&lt;&gt;"",IFERROR(INDEX(Прайс!$G$5:$G$150,MATCH(G26,Прайс!$A$5:$A$150,0)),""),""))</f>
        <v>0</v>
      </c>
      <c r="J26" s="31" t="n">
        <f aca="false">IF(AND(ISNUMBER(F26),ISNUMBER(I26)),F26*I26,"")</f>
        <v>0</v>
      </c>
      <c r="K26" s="26" t="s">
        <v>309</v>
      </c>
      <c r="L26" s="27" t="s">
        <v>361</v>
      </c>
    </row>
    <row r="27" customFormat="false" ht="23.25" hidden="false" customHeight="true" outlineLevel="0" collapsed="false">
      <c r="A27" s="26" t="n">
        <v>23</v>
      </c>
      <c r="B27" s="26" t="s">
        <v>19</v>
      </c>
      <c r="C27" s="27" t="s">
        <v>362</v>
      </c>
      <c r="D27" s="27" t="s">
        <v>363</v>
      </c>
      <c r="E27" s="26" t="s">
        <v>54</v>
      </c>
      <c r="F27" s="28" t="n">
        <v>10</v>
      </c>
      <c r="G27" s="26" t="s">
        <v>230</v>
      </c>
      <c r="H27" s="29" t="n">
        <v>0</v>
      </c>
      <c r="I27" s="30" t="n">
        <f aca="false">IF(ISNUMBER(H27),H27,IF(G27&lt;&gt;"",IFERROR(INDEX(Прайс!$G$5:$G$150,MATCH(G27,Прайс!$A$5:$A$150,0)),""),""))</f>
        <v>0</v>
      </c>
      <c r="J27" s="31" t="n">
        <f aca="false">IF(AND(ISNUMBER(F27),ISNUMBER(I27)),F27*I27,"")</f>
        <v>0</v>
      </c>
      <c r="K27" s="26" t="s">
        <v>309</v>
      </c>
      <c r="L27" s="27" t="s">
        <v>364</v>
      </c>
    </row>
    <row r="28" customFormat="false" ht="23.25" hidden="false" customHeight="true" outlineLevel="0" collapsed="false">
      <c r="A28" s="19" t="n">
        <v>24</v>
      </c>
      <c r="B28" s="19" t="s">
        <v>19</v>
      </c>
      <c r="C28" s="20" t="s">
        <v>365</v>
      </c>
      <c r="D28" s="20" t="s">
        <v>366</v>
      </c>
      <c r="E28" s="19" t="s">
        <v>54</v>
      </c>
      <c r="F28" s="21" t="n">
        <v>3</v>
      </c>
      <c r="G28" s="19" t="s">
        <v>232</v>
      </c>
      <c r="H28" s="22"/>
      <c r="I28" s="23" t="n">
        <f aca="false">IF(ISNUMBER(H28),H28,IF(G28&lt;&gt;"",IFERROR(INDEX(Прайс!$G$5:$G$150,MATCH(G28,Прайс!$A$5:$A$150,0)),""),""))</f>
        <v>1800000</v>
      </c>
      <c r="J28" s="24" t="n">
        <f aca="false">IF(AND(ISNUMBER(F28),ISNUMBER(I28)),F28*I28,"")</f>
        <v>5400000</v>
      </c>
      <c r="K28" s="19" t="s">
        <v>296</v>
      </c>
      <c r="L28" s="20" t="s">
        <v>367</v>
      </c>
    </row>
    <row r="29" customFormat="false" ht="15" hidden="false" customHeight="true" outlineLevel="0" collapsed="false">
      <c r="A29" s="26" t="n">
        <v>25</v>
      </c>
      <c r="B29" s="26" t="s">
        <v>19</v>
      </c>
      <c r="C29" s="27" t="s">
        <v>368</v>
      </c>
      <c r="D29" s="27" t="s">
        <v>369</v>
      </c>
      <c r="E29" s="26" t="s">
        <v>54</v>
      </c>
      <c r="F29" s="28" t="n">
        <v>2</v>
      </c>
      <c r="G29" s="26" t="s">
        <v>234</v>
      </c>
      <c r="H29" s="29" t="n">
        <v>0</v>
      </c>
      <c r="I29" s="30" t="n">
        <f aca="false">IF(ISNUMBER(H29),H29,IF(G29&lt;&gt;"",IFERROR(INDEX(Прайс!$G$5:$G$150,MATCH(G29,Прайс!$A$5:$A$150,0)),""),""))</f>
        <v>0</v>
      </c>
      <c r="J29" s="31" t="n">
        <f aca="false">IF(AND(ISNUMBER(F29),ISNUMBER(I29)),F29*I29,"")</f>
        <v>0</v>
      </c>
      <c r="K29" s="26" t="s">
        <v>309</v>
      </c>
      <c r="L29" s="27" t="s">
        <v>370</v>
      </c>
    </row>
    <row r="30" customFormat="false" ht="23.25" hidden="false" customHeight="true" outlineLevel="0" collapsed="false">
      <c r="A30" s="26" t="n">
        <v>26</v>
      </c>
      <c r="B30" s="26" t="s">
        <v>19</v>
      </c>
      <c r="C30" s="27" t="s">
        <v>371</v>
      </c>
      <c r="D30" s="27" t="s">
        <v>372</v>
      </c>
      <c r="E30" s="26" t="s">
        <v>54</v>
      </c>
      <c r="F30" s="28" t="n">
        <v>3</v>
      </c>
      <c r="G30" s="26" t="s">
        <v>236</v>
      </c>
      <c r="H30" s="29" t="n">
        <v>0</v>
      </c>
      <c r="I30" s="30" t="n">
        <f aca="false">IF(ISNUMBER(H30),H30,IF(G30&lt;&gt;"",IFERROR(INDEX(Прайс!$G$5:$G$150,MATCH(G30,Прайс!$A$5:$A$150,0)),""),""))</f>
        <v>0</v>
      </c>
      <c r="J30" s="31" t="n">
        <f aca="false">IF(AND(ISNUMBER(F30),ISNUMBER(I30)),F30*I30,"")</f>
        <v>0</v>
      </c>
      <c r="K30" s="26" t="s">
        <v>339</v>
      </c>
      <c r="L30" s="27" t="s">
        <v>373</v>
      </c>
    </row>
    <row r="31" customFormat="false" ht="23.25" hidden="false" customHeight="true" outlineLevel="0" collapsed="false">
      <c r="A31" s="19" t="n">
        <v>27</v>
      </c>
      <c r="B31" s="19" t="s">
        <v>8</v>
      </c>
      <c r="C31" s="20" t="s">
        <v>374</v>
      </c>
      <c r="D31" s="20" t="s">
        <v>375</v>
      </c>
      <c r="E31" s="19" t="s">
        <v>54</v>
      </c>
      <c r="F31" s="21" t="n">
        <v>2</v>
      </c>
      <c r="G31" s="19" t="s">
        <v>52</v>
      </c>
      <c r="H31" s="32"/>
      <c r="I31" s="23" t="n">
        <f aca="false">IF(ISNUMBER(H31),H31,IF(G31&lt;&gt;"",IFERROR(INDEX(Прайс!$G$5:$G$150,MATCH(G31,Прайс!$A$5:$A$150,0)),""),""))</f>
        <v>1200000</v>
      </c>
      <c r="J31" s="24" t="n">
        <f aca="false">IF(AND(ISNUMBER(F31),ISNUMBER(I31)),F31*I31,"")</f>
        <v>2400000</v>
      </c>
      <c r="K31" s="19" t="s">
        <v>296</v>
      </c>
      <c r="L31" s="20" t="s">
        <v>376</v>
      </c>
    </row>
    <row r="32" customFormat="false" ht="15" hidden="false" customHeight="true" outlineLevel="0" collapsed="false">
      <c r="A32" s="19" t="n">
        <v>28</v>
      </c>
      <c r="B32" s="19" t="s">
        <v>8</v>
      </c>
      <c r="C32" s="20" t="s">
        <v>377</v>
      </c>
      <c r="D32" s="20" t="s">
        <v>378</v>
      </c>
      <c r="E32" s="19" t="s">
        <v>54</v>
      </c>
      <c r="F32" s="21" t="n">
        <v>4</v>
      </c>
      <c r="G32" s="19" t="s">
        <v>56</v>
      </c>
      <c r="H32" s="32"/>
      <c r="I32" s="23" t="n">
        <f aca="false">IF(ISNUMBER(H32),H32,IF(G32&lt;&gt;"",IFERROR(INDEX(Прайс!$G$5:$G$150,MATCH(G32,Прайс!$A$5:$A$150,0)),""),""))</f>
        <v>900000</v>
      </c>
      <c r="J32" s="24" t="n">
        <f aca="false">IF(AND(ISNUMBER(F32),ISNUMBER(I32)),F32*I32,"")</f>
        <v>3600000</v>
      </c>
      <c r="K32" s="19" t="s">
        <v>296</v>
      </c>
      <c r="L32" s="20" t="s">
        <v>379</v>
      </c>
    </row>
    <row r="33" customFormat="false" ht="15" hidden="false" customHeight="true" outlineLevel="0" collapsed="false">
      <c r="A33" s="19" t="n">
        <v>29</v>
      </c>
      <c r="B33" s="19" t="s">
        <v>8</v>
      </c>
      <c r="C33" s="20" t="s">
        <v>380</v>
      </c>
      <c r="D33" s="20" t="s">
        <v>381</v>
      </c>
      <c r="E33" s="19" t="s">
        <v>54</v>
      </c>
      <c r="F33" s="21" t="n">
        <v>4</v>
      </c>
      <c r="G33" s="19" t="s">
        <v>56</v>
      </c>
      <c r="H33" s="32"/>
      <c r="I33" s="23" t="n">
        <f aca="false">IF(ISNUMBER(H33),H33,IF(G33&lt;&gt;"",IFERROR(INDEX(Прайс!$G$5:$G$150,MATCH(G33,Прайс!$A$5:$A$150,0)),""),""))</f>
        <v>900000</v>
      </c>
      <c r="J33" s="24" t="n">
        <f aca="false">IF(AND(ISNUMBER(F33),ISNUMBER(I33)),F33*I33,"")</f>
        <v>3600000</v>
      </c>
      <c r="K33" s="19" t="s">
        <v>296</v>
      </c>
      <c r="L33" s="20" t="s">
        <v>382</v>
      </c>
    </row>
    <row r="34" customFormat="false" ht="15" hidden="false" customHeight="true" outlineLevel="0" collapsed="false">
      <c r="A34" s="19" t="n">
        <v>30</v>
      </c>
      <c r="B34" s="19" t="s">
        <v>8</v>
      </c>
      <c r="C34" s="20" t="s">
        <v>383</v>
      </c>
      <c r="D34" s="20" t="s">
        <v>378</v>
      </c>
      <c r="E34" s="19" t="s">
        <v>54</v>
      </c>
      <c r="F34" s="21" t="n">
        <v>2</v>
      </c>
      <c r="G34" s="19" t="s">
        <v>56</v>
      </c>
      <c r="H34" s="32"/>
      <c r="I34" s="23" t="n">
        <f aca="false">IF(ISNUMBER(H34),H34,IF(G34&lt;&gt;"",IFERROR(INDEX(Прайс!$G$5:$G$150,MATCH(G34,Прайс!$A$5:$A$150,0)),""),""))</f>
        <v>900000</v>
      </c>
      <c r="J34" s="24" t="n">
        <f aca="false">IF(AND(ISNUMBER(F34),ISNUMBER(I34)),F34*I34,"")</f>
        <v>1800000</v>
      </c>
      <c r="K34" s="19" t="s">
        <v>296</v>
      </c>
      <c r="L34" s="20" t="s">
        <v>384</v>
      </c>
    </row>
    <row r="35" customFormat="false" ht="15" hidden="false" customHeight="true" outlineLevel="0" collapsed="false">
      <c r="A35" s="26" t="n">
        <v>31</v>
      </c>
      <c r="B35" s="26" t="s">
        <v>8</v>
      </c>
      <c r="C35" s="27" t="s">
        <v>385</v>
      </c>
      <c r="D35" s="27" t="s">
        <v>386</v>
      </c>
      <c r="E35" s="26" t="s">
        <v>54</v>
      </c>
      <c r="F35" s="28" t="n">
        <v>1</v>
      </c>
      <c r="G35" s="26" t="s">
        <v>61</v>
      </c>
      <c r="H35" s="29" t="n">
        <v>0</v>
      </c>
      <c r="I35" s="30" t="n">
        <f aca="false">IF(ISNUMBER(H35),H35,IF(G35&lt;&gt;"",IFERROR(INDEX(Прайс!$G$5:$G$150,MATCH(G35,Прайс!$A$5:$A$150,0)),""),""))</f>
        <v>0</v>
      </c>
      <c r="J35" s="31" t="n">
        <f aca="false">IF(AND(ISNUMBER(F35),ISNUMBER(I35)),F35*I35,"")</f>
        <v>0</v>
      </c>
      <c r="K35" s="26" t="s">
        <v>309</v>
      </c>
      <c r="L35" s="27" t="s">
        <v>387</v>
      </c>
    </row>
    <row r="36" customFormat="false" ht="15" hidden="false" customHeight="true" outlineLevel="0" collapsed="false">
      <c r="A36" s="26" t="n">
        <v>32</v>
      </c>
      <c r="B36" s="26" t="s">
        <v>8</v>
      </c>
      <c r="C36" s="27" t="s">
        <v>388</v>
      </c>
      <c r="D36" s="27" t="s">
        <v>386</v>
      </c>
      <c r="E36" s="26" t="s">
        <v>54</v>
      </c>
      <c r="F36" s="28" t="n">
        <v>1</v>
      </c>
      <c r="G36" s="26" t="s">
        <v>63</v>
      </c>
      <c r="H36" s="29" t="n">
        <v>0</v>
      </c>
      <c r="I36" s="30" t="n">
        <f aca="false">IF(ISNUMBER(H36),H36,IF(G36&lt;&gt;"",IFERROR(INDEX(Прайс!$G$5:$G$150,MATCH(G36,Прайс!$A$5:$A$150,0)),""),""))</f>
        <v>0</v>
      </c>
      <c r="J36" s="31" t="n">
        <f aca="false">IF(AND(ISNUMBER(F36),ISNUMBER(I36)),F36*I36,"")</f>
        <v>0</v>
      </c>
      <c r="K36" s="26" t="s">
        <v>309</v>
      </c>
      <c r="L36" s="27" t="s">
        <v>389</v>
      </c>
    </row>
    <row r="37" customFormat="false" ht="15" hidden="false" customHeight="true" outlineLevel="0" collapsed="false">
      <c r="A37" s="19" t="n">
        <v>33</v>
      </c>
      <c r="B37" s="19" t="s">
        <v>8</v>
      </c>
      <c r="C37" s="20" t="s">
        <v>390</v>
      </c>
      <c r="D37" s="20"/>
      <c r="E37" s="19" t="s">
        <v>54</v>
      </c>
      <c r="F37" s="21" t="n">
        <v>1</v>
      </c>
      <c r="G37" s="19" t="s">
        <v>65</v>
      </c>
      <c r="H37" s="32"/>
      <c r="I37" s="23" t="n">
        <f aca="false">IF(ISNUMBER(H37),H37,IF(G37&lt;&gt;"",IFERROR(INDEX(Прайс!$G$5:$G$150,MATCH(G37,Прайс!$A$5:$A$150,0)),""),""))</f>
        <v>1300000</v>
      </c>
      <c r="J37" s="24" t="n">
        <f aca="false">IF(AND(ISNUMBER(F37),ISNUMBER(I37)),F37*I37,"")</f>
        <v>1300000</v>
      </c>
      <c r="K37" s="19" t="s">
        <v>296</v>
      </c>
      <c r="L37" s="20" t="s">
        <v>391</v>
      </c>
    </row>
    <row r="38" customFormat="false" ht="23.25" hidden="false" customHeight="true" outlineLevel="0" collapsed="false">
      <c r="A38" s="19" t="n">
        <v>34</v>
      </c>
      <c r="B38" s="19" t="s">
        <v>8</v>
      </c>
      <c r="C38" s="20" t="s">
        <v>392</v>
      </c>
      <c r="D38" s="20"/>
      <c r="E38" s="19" t="s">
        <v>54</v>
      </c>
      <c r="F38" s="21" t="n">
        <v>3</v>
      </c>
      <c r="G38" s="19" t="s">
        <v>67</v>
      </c>
      <c r="H38" s="32"/>
      <c r="I38" s="23" t="n">
        <f aca="false">IF(ISNUMBER(H38),H38,IF(G38&lt;&gt;"",IFERROR(INDEX(Прайс!$G$5:$G$150,MATCH(G38,Прайс!$A$5:$A$150,0)),""),""))</f>
        <v>1100000</v>
      </c>
      <c r="J38" s="24" t="n">
        <f aca="false">IF(AND(ISNUMBER(F38),ISNUMBER(I38)),F38*I38,"")</f>
        <v>3300000</v>
      </c>
      <c r="K38" s="19" t="s">
        <v>296</v>
      </c>
      <c r="L38" s="20" t="s">
        <v>393</v>
      </c>
    </row>
    <row r="39" customFormat="false" ht="15" hidden="false" customHeight="true" outlineLevel="0" collapsed="false">
      <c r="A39" s="26" t="n">
        <v>35</v>
      </c>
      <c r="B39" s="26" t="s">
        <v>8</v>
      </c>
      <c r="C39" s="27" t="s">
        <v>394</v>
      </c>
      <c r="D39" s="27" t="s">
        <v>395</v>
      </c>
      <c r="E39" s="26" t="s">
        <v>54</v>
      </c>
      <c r="F39" s="28" t="n">
        <v>2</v>
      </c>
      <c r="G39" s="26" t="s">
        <v>69</v>
      </c>
      <c r="H39" s="29" t="n">
        <v>0</v>
      </c>
      <c r="I39" s="30" t="n">
        <f aca="false">IF(ISNUMBER(H39),H39,IF(G39&lt;&gt;"",IFERROR(INDEX(Прайс!$G$5:$G$150,MATCH(G39,Прайс!$A$5:$A$150,0)),""),""))</f>
        <v>0</v>
      </c>
      <c r="J39" s="31" t="n">
        <f aca="false">IF(AND(ISNUMBER(F39),ISNUMBER(I39)),F39*I39,"")</f>
        <v>0</v>
      </c>
      <c r="K39" s="26" t="s">
        <v>309</v>
      </c>
      <c r="L39" s="27" t="s">
        <v>396</v>
      </c>
    </row>
    <row r="40" customFormat="false" ht="15" hidden="false" customHeight="true" outlineLevel="0" collapsed="false">
      <c r="A40" s="19" t="n">
        <v>36</v>
      </c>
      <c r="B40" s="19" t="s">
        <v>8</v>
      </c>
      <c r="C40" s="20" t="s">
        <v>72</v>
      </c>
      <c r="D40" s="20" t="s">
        <v>397</v>
      </c>
      <c r="E40" s="19" t="s">
        <v>54</v>
      </c>
      <c r="F40" s="21" t="n">
        <v>1</v>
      </c>
      <c r="G40" s="19" t="s">
        <v>71</v>
      </c>
      <c r="H40" s="32"/>
      <c r="I40" s="23" t="n">
        <f aca="false">IF(ISNUMBER(H40),H40,IF(G40&lt;&gt;"",IFERROR(INDEX(Прайс!$G$5:$G$150,MATCH(G40,Прайс!$A$5:$A$150,0)),""),""))</f>
        <v>900000</v>
      </c>
      <c r="J40" s="24" t="n">
        <f aca="false">IF(AND(ISNUMBER(F40),ISNUMBER(I40)),F40*I40,"")</f>
        <v>900000</v>
      </c>
      <c r="K40" s="19" t="s">
        <v>296</v>
      </c>
      <c r="L40" s="20" t="s">
        <v>391</v>
      </c>
    </row>
    <row r="41" customFormat="false" ht="15" hidden="false" customHeight="true" outlineLevel="0" collapsed="false">
      <c r="A41" s="19" t="n">
        <v>37</v>
      </c>
      <c r="B41" s="19" t="s">
        <v>8</v>
      </c>
      <c r="C41" s="20" t="s">
        <v>398</v>
      </c>
      <c r="D41" s="20"/>
      <c r="E41" s="19" t="s">
        <v>54</v>
      </c>
      <c r="F41" s="21" t="n">
        <v>1</v>
      </c>
      <c r="G41" s="19" t="s">
        <v>73</v>
      </c>
      <c r="H41" s="32"/>
      <c r="I41" s="23" t="n">
        <f aca="false">IF(ISNUMBER(H41),H41,IF(G41&lt;&gt;"",IFERROR(INDEX(Прайс!$G$5:$G$150,MATCH(G41,Прайс!$A$5:$A$150,0)),""),""))</f>
        <v>2500000</v>
      </c>
      <c r="J41" s="24" t="n">
        <f aca="false">IF(AND(ISNUMBER(F41),ISNUMBER(I41)),F41*I41,"")</f>
        <v>2500000</v>
      </c>
      <c r="K41" s="19" t="s">
        <v>296</v>
      </c>
      <c r="L41" s="20" t="s">
        <v>391</v>
      </c>
    </row>
    <row r="42" customFormat="false" ht="23.25" hidden="false" customHeight="true" outlineLevel="0" collapsed="false">
      <c r="A42" s="19" t="n">
        <v>38</v>
      </c>
      <c r="B42" s="19" t="s">
        <v>8</v>
      </c>
      <c r="C42" s="20" t="s">
        <v>76</v>
      </c>
      <c r="D42" s="20" t="s">
        <v>399</v>
      </c>
      <c r="E42" s="19" t="s">
        <v>54</v>
      </c>
      <c r="F42" s="21" t="n">
        <v>1</v>
      </c>
      <c r="G42" s="19" t="s">
        <v>75</v>
      </c>
      <c r="H42" s="32"/>
      <c r="I42" s="23" t="n">
        <f aca="false">IF(ISNUMBER(H42),H42,IF(G42&lt;&gt;"",IFERROR(INDEX(Прайс!$G$5:$G$150,MATCH(G42,Прайс!$A$5:$A$150,0)),""),""))</f>
        <v>3000000</v>
      </c>
      <c r="J42" s="24" t="n">
        <f aca="false">IF(AND(ISNUMBER(F42),ISNUMBER(I42)),F42*I42,"")</f>
        <v>3000000</v>
      </c>
      <c r="K42" s="19" t="s">
        <v>296</v>
      </c>
      <c r="L42" s="20" t="s">
        <v>391</v>
      </c>
    </row>
    <row r="43" customFormat="false" ht="15" hidden="false" customHeight="true" outlineLevel="0" collapsed="false">
      <c r="A43" s="19" t="n">
        <v>39</v>
      </c>
      <c r="B43" s="19" t="s">
        <v>8</v>
      </c>
      <c r="C43" s="20" t="s">
        <v>400</v>
      </c>
      <c r="D43" s="20"/>
      <c r="E43" s="19" t="s">
        <v>54</v>
      </c>
      <c r="F43" s="21" t="n">
        <v>1</v>
      </c>
      <c r="G43" s="19" t="s">
        <v>78</v>
      </c>
      <c r="H43" s="32"/>
      <c r="I43" s="23" t="n">
        <f aca="false">IF(ISNUMBER(H43),H43,IF(G43&lt;&gt;"",IFERROR(INDEX(Прайс!$G$5:$G$150,MATCH(G43,Прайс!$A$5:$A$150,0)),""),""))</f>
        <v>700000</v>
      </c>
      <c r="J43" s="24" t="n">
        <f aca="false">IF(AND(ISNUMBER(F43),ISNUMBER(I43)),F43*I43,"")</f>
        <v>700000</v>
      </c>
      <c r="K43" s="19" t="s">
        <v>296</v>
      </c>
      <c r="L43" s="20" t="s">
        <v>391</v>
      </c>
    </row>
    <row r="44" customFormat="false" ht="23.25" hidden="false" customHeight="true" outlineLevel="0" collapsed="false">
      <c r="A44" s="19" t="n">
        <v>40</v>
      </c>
      <c r="B44" s="19" t="s">
        <v>9</v>
      </c>
      <c r="C44" s="20" t="s">
        <v>401</v>
      </c>
      <c r="D44" s="20" t="s">
        <v>402</v>
      </c>
      <c r="E44" s="19" t="s">
        <v>54</v>
      </c>
      <c r="F44" s="21" t="n">
        <v>101</v>
      </c>
      <c r="G44" s="19" t="s">
        <v>90</v>
      </c>
      <c r="H44" s="32"/>
      <c r="I44" s="23" t="n">
        <f aca="false">IF(ISNUMBER(H44),H44,IF(G44&lt;&gt;"",IFERROR(INDEX(Прайс!$G$5:$G$150,MATCH(G44,Прайс!$A$5:$A$150,0)),""),""))</f>
        <v>100000</v>
      </c>
      <c r="J44" s="24" t="n">
        <f aca="false">IF(AND(ISNUMBER(F44),ISNUMBER(I44)),F44*I44,"")</f>
        <v>10100000</v>
      </c>
      <c r="K44" s="19" t="s">
        <v>296</v>
      </c>
      <c r="L44" s="20" t="s">
        <v>403</v>
      </c>
    </row>
    <row r="45" customFormat="false" ht="15" hidden="false" customHeight="true" outlineLevel="0" collapsed="false">
      <c r="A45" s="19" t="n">
        <v>41</v>
      </c>
      <c r="B45" s="19" t="s">
        <v>9</v>
      </c>
      <c r="C45" s="20" t="s">
        <v>404</v>
      </c>
      <c r="D45" s="20" t="s">
        <v>405</v>
      </c>
      <c r="E45" s="19" t="s">
        <v>102</v>
      </c>
      <c r="F45" s="21" t="n">
        <v>9.8</v>
      </c>
      <c r="G45" s="19" t="s">
        <v>100</v>
      </c>
      <c r="H45" s="32"/>
      <c r="I45" s="23" t="n">
        <f aca="false">IF(ISNUMBER(H45),H45,IF(G45&lt;&gt;"",IFERROR(INDEX(Прайс!$G$5:$G$150,MATCH(G45,Прайс!$A$5:$A$150,0)),""),""))</f>
        <v>85000</v>
      </c>
      <c r="J45" s="24" t="n">
        <f aca="false">IF(AND(ISNUMBER(F45),ISNUMBER(I45)),F45*I45,"")</f>
        <v>833000</v>
      </c>
      <c r="K45" s="19" t="s">
        <v>296</v>
      </c>
      <c r="L45" s="20" t="s">
        <v>406</v>
      </c>
    </row>
    <row r="46" customFormat="false" ht="15" hidden="false" customHeight="true" outlineLevel="0" collapsed="false">
      <c r="A46" s="19" t="n">
        <v>42</v>
      </c>
      <c r="B46" s="19" t="s">
        <v>9</v>
      </c>
      <c r="C46" s="20" t="s">
        <v>404</v>
      </c>
      <c r="D46" s="20" t="s">
        <v>407</v>
      </c>
      <c r="E46" s="19" t="s">
        <v>102</v>
      </c>
      <c r="F46" s="21" t="n">
        <v>10</v>
      </c>
      <c r="G46" s="19" t="s">
        <v>100</v>
      </c>
      <c r="H46" s="32"/>
      <c r="I46" s="23" t="n">
        <f aca="false">IF(ISNUMBER(H46),H46,IF(G46&lt;&gt;"",IFERROR(INDEX(Прайс!$G$5:$G$150,MATCH(G46,Прайс!$A$5:$A$150,0)),""),""))</f>
        <v>85000</v>
      </c>
      <c r="J46" s="24" t="n">
        <f aca="false">IF(AND(ISNUMBER(F46),ISNUMBER(I46)),F46*I46,"")</f>
        <v>850000</v>
      </c>
      <c r="K46" s="19" t="s">
        <v>296</v>
      </c>
      <c r="L46" s="20" t="s">
        <v>393</v>
      </c>
    </row>
    <row r="47" customFormat="false" ht="15" hidden="false" customHeight="true" outlineLevel="0" collapsed="false">
      <c r="A47" s="19" t="n">
        <v>43</v>
      </c>
      <c r="B47" s="19" t="s">
        <v>9</v>
      </c>
      <c r="C47" s="20" t="s">
        <v>404</v>
      </c>
      <c r="D47" s="20" t="s">
        <v>408</v>
      </c>
      <c r="E47" s="19" t="s">
        <v>102</v>
      </c>
      <c r="F47" s="21" t="n">
        <v>19.2</v>
      </c>
      <c r="G47" s="19" t="s">
        <v>100</v>
      </c>
      <c r="H47" s="32"/>
      <c r="I47" s="23" t="n">
        <f aca="false">IF(ISNUMBER(H47),H47,IF(G47&lt;&gt;"",IFERROR(INDEX(Прайс!$G$5:$G$150,MATCH(G47,Прайс!$A$5:$A$150,0)),""),""))</f>
        <v>85000</v>
      </c>
      <c r="J47" s="24" t="n">
        <f aca="false">IF(AND(ISNUMBER(F47),ISNUMBER(I47)),F47*I47,"")</f>
        <v>1632000</v>
      </c>
      <c r="K47" s="19" t="s">
        <v>296</v>
      </c>
      <c r="L47" s="20" t="s">
        <v>409</v>
      </c>
    </row>
    <row r="48" customFormat="false" ht="15" hidden="false" customHeight="true" outlineLevel="0" collapsed="false">
      <c r="A48" s="19" t="n">
        <v>44</v>
      </c>
      <c r="B48" s="19" t="s">
        <v>9</v>
      </c>
      <c r="C48" s="20" t="s">
        <v>404</v>
      </c>
      <c r="D48" s="20" t="s">
        <v>410</v>
      </c>
      <c r="E48" s="19" t="s">
        <v>102</v>
      </c>
      <c r="F48" s="21" t="n">
        <v>12.4</v>
      </c>
      <c r="G48" s="19" t="s">
        <v>100</v>
      </c>
      <c r="H48" s="32"/>
      <c r="I48" s="23" t="n">
        <f aca="false">IF(ISNUMBER(H48),H48,IF(G48&lt;&gt;"",IFERROR(INDEX(Прайс!$G$5:$G$150,MATCH(G48,Прайс!$A$5:$A$150,0)),""),""))</f>
        <v>85000</v>
      </c>
      <c r="J48" s="24" t="n">
        <f aca="false">IF(AND(ISNUMBER(F48),ISNUMBER(I48)),F48*I48,"")</f>
        <v>1054000</v>
      </c>
      <c r="K48" s="19" t="s">
        <v>296</v>
      </c>
      <c r="L48" s="20" t="s">
        <v>411</v>
      </c>
    </row>
    <row r="49" customFormat="false" ht="15" hidden="false" customHeight="true" outlineLevel="0" collapsed="false">
      <c r="A49" s="19" t="n">
        <v>45</v>
      </c>
      <c r="B49" s="19" t="s">
        <v>9</v>
      </c>
      <c r="C49" s="20" t="s">
        <v>404</v>
      </c>
      <c r="D49" s="20" t="s">
        <v>412</v>
      </c>
      <c r="E49" s="19" t="s">
        <v>102</v>
      </c>
      <c r="F49" s="21" t="n">
        <v>8.55</v>
      </c>
      <c r="G49" s="19" t="s">
        <v>100</v>
      </c>
      <c r="H49" s="32"/>
      <c r="I49" s="23" t="n">
        <f aca="false">IF(ISNUMBER(H49),H49,IF(G49&lt;&gt;"",IFERROR(INDEX(Прайс!$G$5:$G$150,MATCH(G49,Прайс!$A$5:$A$150,0)),""),""))</f>
        <v>85000</v>
      </c>
      <c r="J49" s="24" t="n">
        <f aca="false">IF(AND(ISNUMBER(F49),ISNUMBER(I49)),F49*I49,"")</f>
        <v>726750</v>
      </c>
      <c r="K49" s="19" t="s">
        <v>296</v>
      </c>
      <c r="L49" s="20" t="s">
        <v>413</v>
      </c>
    </row>
    <row r="50" customFormat="false" ht="15" hidden="false" customHeight="true" outlineLevel="0" collapsed="false">
      <c r="A50" s="19" t="n">
        <v>46</v>
      </c>
      <c r="B50" s="19" t="s">
        <v>9</v>
      </c>
      <c r="C50" s="20" t="s">
        <v>404</v>
      </c>
      <c r="D50" s="20" t="s">
        <v>414</v>
      </c>
      <c r="E50" s="19" t="s">
        <v>102</v>
      </c>
      <c r="F50" s="21" t="n">
        <v>2.44</v>
      </c>
      <c r="G50" s="19" t="s">
        <v>100</v>
      </c>
      <c r="H50" s="32"/>
      <c r="I50" s="23" t="n">
        <f aca="false">IF(ISNUMBER(H50),H50,IF(G50&lt;&gt;"",IFERROR(INDEX(Прайс!$G$5:$G$150,MATCH(G50,Прайс!$A$5:$A$150,0)),""),""))</f>
        <v>85000</v>
      </c>
      <c r="J50" s="24" t="n">
        <f aca="false">IF(AND(ISNUMBER(F50),ISNUMBER(I50)),F50*I50,"")</f>
        <v>207400</v>
      </c>
      <c r="K50" s="19" t="s">
        <v>296</v>
      </c>
      <c r="L50" s="20" t="s">
        <v>415</v>
      </c>
    </row>
    <row r="51" customFormat="false" ht="15" hidden="false" customHeight="true" outlineLevel="0" collapsed="false">
      <c r="A51" s="19" t="n">
        <v>47</v>
      </c>
      <c r="B51" s="19" t="s">
        <v>9</v>
      </c>
      <c r="C51" s="20" t="s">
        <v>404</v>
      </c>
      <c r="D51" s="20" t="s">
        <v>416</v>
      </c>
      <c r="E51" s="19" t="s">
        <v>102</v>
      </c>
      <c r="F51" s="21" t="n">
        <v>3.6</v>
      </c>
      <c r="G51" s="19" t="s">
        <v>100</v>
      </c>
      <c r="H51" s="32"/>
      <c r="I51" s="23" t="n">
        <f aca="false">IF(ISNUMBER(H51),H51,IF(G51&lt;&gt;"",IFERROR(INDEX(Прайс!$G$5:$G$150,MATCH(G51,Прайс!$A$5:$A$150,0)),""),""))</f>
        <v>85000</v>
      </c>
      <c r="J51" s="24" t="n">
        <f aca="false">IF(AND(ISNUMBER(F51),ISNUMBER(I51)),F51*I51,"")</f>
        <v>306000</v>
      </c>
      <c r="K51" s="19" t="s">
        <v>296</v>
      </c>
      <c r="L51" s="20" t="s">
        <v>417</v>
      </c>
    </row>
    <row r="52" customFormat="false" ht="15" hidden="false" customHeight="true" outlineLevel="0" collapsed="false">
      <c r="A52" s="19" t="n">
        <v>48</v>
      </c>
      <c r="B52" s="19" t="s">
        <v>9</v>
      </c>
      <c r="C52" s="20" t="s">
        <v>418</v>
      </c>
      <c r="D52" s="20" t="s">
        <v>419</v>
      </c>
      <c r="E52" s="19" t="s">
        <v>54</v>
      </c>
      <c r="F52" s="21" t="n">
        <v>2</v>
      </c>
      <c r="G52" s="19" t="s">
        <v>120</v>
      </c>
      <c r="H52" s="32"/>
      <c r="I52" s="23" t="n">
        <f aca="false">IF(ISNUMBER(H52),H52,IF(G52&lt;&gt;"",IFERROR(INDEX(Прайс!$G$5:$G$150,MATCH(G52,Прайс!$A$5:$A$150,0)),""),""))</f>
        <v>600000</v>
      </c>
      <c r="J52" s="24" t="n">
        <f aca="false">IF(AND(ISNUMBER(F52),ISNUMBER(I52)),F52*I52,"")</f>
        <v>1200000</v>
      </c>
      <c r="K52" s="19" t="s">
        <v>296</v>
      </c>
      <c r="L52" s="20" t="s">
        <v>420</v>
      </c>
    </row>
    <row r="53" customFormat="false" ht="15" hidden="false" customHeight="true" outlineLevel="0" collapsed="false">
      <c r="A53" s="19" t="n">
        <v>49</v>
      </c>
      <c r="B53" s="19" t="s">
        <v>9</v>
      </c>
      <c r="C53" s="20" t="s">
        <v>421</v>
      </c>
      <c r="D53" s="20" t="s">
        <v>422</v>
      </c>
      <c r="E53" s="19" t="s">
        <v>54</v>
      </c>
      <c r="F53" s="21" t="n">
        <v>1</v>
      </c>
      <c r="G53" s="19" t="s">
        <v>122</v>
      </c>
      <c r="H53" s="32"/>
      <c r="I53" s="23" t="n">
        <f aca="false">IF(ISNUMBER(H53),H53,IF(G53&lt;&gt;"",IFERROR(INDEX(Прайс!$G$5:$G$150,MATCH(G53,Прайс!$A$5:$A$150,0)),""),""))</f>
        <v>450000</v>
      </c>
      <c r="J53" s="24" t="n">
        <f aca="false">IF(AND(ISNUMBER(F53),ISNUMBER(I53)),F53*I53,"")</f>
        <v>450000</v>
      </c>
      <c r="K53" s="19" t="s">
        <v>296</v>
      </c>
      <c r="L53" s="20" t="s">
        <v>420</v>
      </c>
    </row>
    <row r="54" customFormat="false" ht="23.25" hidden="false" customHeight="true" outlineLevel="0" collapsed="false">
      <c r="A54" s="19" t="n">
        <v>50</v>
      </c>
      <c r="B54" s="19" t="s">
        <v>9</v>
      </c>
      <c r="C54" s="20" t="s">
        <v>423</v>
      </c>
      <c r="D54" s="20" t="s">
        <v>424</v>
      </c>
      <c r="E54" s="19" t="s">
        <v>54</v>
      </c>
      <c r="F54" s="21" t="n">
        <v>2</v>
      </c>
      <c r="G54" s="19" t="s">
        <v>124</v>
      </c>
      <c r="H54" s="32"/>
      <c r="I54" s="23" t="n">
        <f aca="false">IF(ISNUMBER(H54),H54,IF(G54&lt;&gt;"",IFERROR(INDEX(Прайс!$G$5:$G$150,MATCH(G54,Прайс!$A$5:$A$150,0)),""),""))</f>
        <v>3500000</v>
      </c>
      <c r="J54" s="24" t="n">
        <f aca="false">IF(AND(ISNUMBER(F54),ISNUMBER(I54)),F54*I54,"")</f>
        <v>7000000</v>
      </c>
      <c r="K54" s="19" t="s">
        <v>296</v>
      </c>
      <c r="L54" s="20" t="s">
        <v>425</v>
      </c>
    </row>
    <row r="55" customFormat="false" ht="34.5" hidden="false" customHeight="true" outlineLevel="0" collapsed="false">
      <c r="A55" s="19" t="n">
        <v>51</v>
      </c>
      <c r="B55" s="19" t="s">
        <v>10</v>
      </c>
      <c r="C55" s="20" t="s">
        <v>426</v>
      </c>
      <c r="D55" s="20" t="s">
        <v>427</v>
      </c>
      <c r="E55" s="19" t="s">
        <v>102</v>
      </c>
      <c r="F55" s="21" t="n">
        <v>102</v>
      </c>
      <c r="G55" s="19" t="s">
        <v>127</v>
      </c>
      <c r="H55" s="32"/>
      <c r="I55" s="23" t="n">
        <f aca="false">IF(ISNUMBER(H55),H55,IF(G55&lt;&gt;"",IFERROR(INDEX(Прайс!$G$5:$G$150,MATCH(G55,Прайс!$A$5:$A$150,0)),""),""))</f>
        <v>220000</v>
      </c>
      <c r="J55" s="24" t="n">
        <f aca="false">IF(AND(ISNUMBER(F55),ISNUMBER(I55)),F55*I55,"")</f>
        <v>22440000</v>
      </c>
      <c r="K55" s="19" t="s">
        <v>296</v>
      </c>
      <c r="L55" s="20" t="s">
        <v>428</v>
      </c>
    </row>
    <row r="56" customFormat="false" ht="23.25" hidden="false" customHeight="true" outlineLevel="0" collapsed="false">
      <c r="A56" s="19" t="n">
        <v>52</v>
      </c>
      <c r="B56" s="19" t="s">
        <v>10</v>
      </c>
      <c r="C56" s="20" t="s">
        <v>429</v>
      </c>
      <c r="D56" s="20" t="s">
        <v>430</v>
      </c>
      <c r="E56" s="19" t="s">
        <v>102</v>
      </c>
      <c r="F56" s="21" t="n">
        <v>54</v>
      </c>
      <c r="G56" s="19" t="s">
        <v>130</v>
      </c>
      <c r="H56" s="32"/>
      <c r="I56" s="23" t="n">
        <f aca="false">IF(ISNUMBER(H56),H56,IF(G56&lt;&gt;"",IFERROR(INDEX(Прайс!$G$5:$G$150,MATCH(G56,Прайс!$A$5:$A$150,0)),""),""))</f>
        <v>90000</v>
      </c>
      <c r="J56" s="24" t="n">
        <f aca="false">IF(AND(ISNUMBER(F56),ISNUMBER(I56)),F56*I56,"")</f>
        <v>4860000</v>
      </c>
      <c r="K56" s="19" t="s">
        <v>296</v>
      </c>
      <c r="L56" s="20" t="s">
        <v>431</v>
      </c>
    </row>
    <row r="57" customFormat="false" ht="23.25" hidden="false" customHeight="true" outlineLevel="0" collapsed="false">
      <c r="A57" s="19" t="n">
        <v>53</v>
      </c>
      <c r="B57" s="19" t="s">
        <v>10</v>
      </c>
      <c r="C57" s="20" t="s">
        <v>432</v>
      </c>
      <c r="D57" s="20" t="s">
        <v>433</v>
      </c>
      <c r="E57" s="19" t="s">
        <v>102</v>
      </c>
      <c r="F57" s="21" t="n">
        <v>8</v>
      </c>
      <c r="G57" s="19" t="s">
        <v>130</v>
      </c>
      <c r="H57" s="32"/>
      <c r="I57" s="23" t="n">
        <f aca="false">IF(ISNUMBER(H57),H57,IF(G57&lt;&gt;"",IFERROR(INDEX(Прайс!$G$5:$G$150,MATCH(G57,Прайс!$A$5:$A$150,0)),""),""))</f>
        <v>90000</v>
      </c>
      <c r="J57" s="24" t="n">
        <f aca="false">IF(AND(ISNUMBER(F57),ISNUMBER(I57)),F57*I57,"")</f>
        <v>720000</v>
      </c>
      <c r="K57" s="19" t="s">
        <v>296</v>
      </c>
      <c r="L57" s="20" t="s">
        <v>434</v>
      </c>
    </row>
    <row r="58" customFormat="false" ht="23.25" hidden="false" customHeight="true" outlineLevel="0" collapsed="false">
      <c r="A58" s="19" t="n">
        <v>54</v>
      </c>
      <c r="B58" s="19" t="s">
        <v>10</v>
      </c>
      <c r="C58" s="20" t="s">
        <v>435</v>
      </c>
      <c r="D58" s="20" t="s">
        <v>436</v>
      </c>
      <c r="E58" s="19" t="s">
        <v>102</v>
      </c>
      <c r="F58" s="21" t="n">
        <v>13.92</v>
      </c>
      <c r="G58" s="19" t="s">
        <v>130</v>
      </c>
      <c r="H58" s="32"/>
      <c r="I58" s="23" t="n">
        <f aca="false">IF(ISNUMBER(H58),H58,IF(G58&lt;&gt;"",IFERROR(INDEX(Прайс!$G$5:$G$150,MATCH(G58,Прайс!$A$5:$A$150,0)),""),""))</f>
        <v>90000</v>
      </c>
      <c r="J58" s="24" t="n">
        <f aca="false">IF(AND(ISNUMBER(F58),ISNUMBER(I58)),F58*I58,"")</f>
        <v>1252800</v>
      </c>
      <c r="K58" s="19" t="s">
        <v>296</v>
      </c>
      <c r="L58" s="20" t="s">
        <v>437</v>
      </c>
    </row>
    <row r="59" customFormat="false" ht="23.25" hidden="false" customHeight="true" outlineLevel="0" collapsed="false">
      <c r="A59" s="19" t="n">
        <v>55</v>
      </c>
      <c r="B59" s="19" t="s">
        <v>10</v>
      </c>
      <c r="C59" s="20" t="s">
        <v>438</v>
      </c>
      <c r="D59" s="20" t="s">
        <v>439</v>
      </c>
      <c r="E59" s="19" t="s">
        <v>440</v>
      </c>
      <c r="F59" s="21" t="n">
        <v>4</v>
      </c>
      <c r="G59" s="19" t="s">
        <v>132</v>
      </c>
      <c r="H59" s="32"/>
      <c r="I59" s="23" t="n">
        <f aca="false">IF(ISNUMBER(H59),H59,IF(G59&lt;&gt;"",IFERROR(INDEX(Прайс!$G$5:$G$150,MATCH(G59,Прайс!$A$5:$A$150,0)),""),""))</f>
        <v>250000</v>
      </c>
      <c r="J59" s="24" t="n">
        <f aca="false">IF(AND(ISNUMBER(F59),ISNUMBER(I59)),F59*I59,"")</f>
        <v>1000000</v>
      </c>
      <c r="K59" s="19" t="s">
        <v>296</v>
      </c>
      <c r="L59" s="20" t="s">
        <v>441</v>
      </c>
    </row>
    <row r="60" customFormat="false" ht="15" hidden="false" customHeight="true" outlineLevel="0" collapsed="false">
      <c r="A60" s="19" t="n">
        <v>56</v>
      </c>
      <c r="B60" s="19" t="s">
        <v>11</v>
      </c>
      <c r="C60" s="20" t="s">
        <v>442</v>
      </c>
      <c r="D60" s="20"/>
      <c r="E60" s="19" t="s">
        <v>54</v>
      </c>
      <c r="F60" s="21" t="n">
        <v>8</v>
      </c>
      <c r="G60" s="19" t="s">
        <v>134</v>
      </c>
      <c r="H60" s="32"/>
      <c r="I60" s="23" t="n">
        <f aca="false">IF(ISNUMBER(H60),H60,IF(G60&lt;&gt;"",IFERROR(INDEX(Прайс!$G$5:$G$150,MATCH(G60,Прайс!$A$5:$A$150,0)),""),""))</f>
        <v>55000</v>
      </c>
      <c r="J60" s="24" t="n">
        <f aca="false">IF(AND(ISNUMBER(F60),ISNUMBER(I60)),F60*I60,"")</f>
        <v>440000</v>
      </c>
      <c r="K60" s="19" t="s">
        <v>296</v>
      </c>
      <c r="L60" s="20" t="s">
        <v>428</v>
      </c>
    </row>
    <row r="61" customFormat="false" ht="15" hidden="false" customHeight="true" outlineLevel="0" collapsed="false">
      <c r="A61" s="19" t="n">
        <v>57</v>
      </c>
      <c r="B61" s="19" t="s">
        <v>11</v>
      </c>
      <c r="C61" s="20" t="s">
        <v>443</v>
      </c>
      <c r="D61" s="20"/>
      <c r="E61" s="19" t="s">
        <v>54</v>
      </c>
      <c r="F61" s="21" t="n">
        <v>30</v>
      </c>
      <c r="G61" s="19" t="s">
        <v>137</v>
      </c>
      <c r="H61" s="32"/>
      <c r="I61" s="23" t="n">
        <f aca="false">IF(ISNUMBER(H61),H61,IF(G61&lt;&gt;"",IFERROR(INDEX(Прайс!$G$5:$G$150,MATCH(G61,Прайс!$A$5:$A$150,0)),""),""))</f>
        <v>80000</v>
      </c>
      <c r="J61" s="24" t="n">
        <f aca="false">IF(AND(ISNUMBER(F61),ISNUMBER(I61)),F61*I61,"")</f>
        <v>2400000</v>
      </c>
      <c r="K61" s="19" t="s">
        <v>296</v>
      </c>
      <c r="L61" s="20" t="s">
        <v>428</v>
      </c>
    </row>
    <row r="62" customFormat="false" ht="23.25" hidden="false" customHeight="true" outlineLevel="0" collapsed="false">
      <c r="A62" s="19" t="n">
        <v>58</v>
      </c>
      <c r="B62" s="19" t="s">
        <v>11</v>
      </c>
      <c r="C62" s="20" t="s">
        <v>444</v>
      </c>
      <c r="D62" s="20" t="s">
        <v>445</v>
      </c>
      <c r="E62" s="19" t="s">
        <v>54</v>
      </c>
      <c r="F62" s="21" t="n">
        <v>105</v>
      </c>
      <c r="G62" s="19" t="s">
        <v>140</v>
      </c>
      <c r="H62" s="32"/>
      <c r="I62" s="23" t="n">
        <f aca="false">IF(ISNUMBER(H62),H62,IF(G62&lt;&gt;"",IFERROR(INDEX(Прайс!$G$5:$G$150,MATCH(G62,Прайс!$A$5:$A$150,0)),""),""))</f>
        <v>65000</v>
      </c>
      <c r="J62" s="24" t="n">
        <f aca="false">IF(AND(ISNUMBER(F62),ISNUMBER(I62)),F62*I62,"")</f>
        <v>6825000</v>
      </c>
      <c r="K62" s="19" t="s">
        <v>296</v>
      </c>
      <c r="L62" s="20" t="s">
        <v>446</v>
      </c>
    </row>
    <row r="63" customFormat="false" ht="15" hidden="false" customHeight="true" outlineLevel="0" collapsed="false">
      <c r="A63" s="19" t="n">
        <v>59</v>
      </c>
      <c r="B63" s="19" t="s">
        <v>11</v>
      </c>
      <c r="C63" s="20" t="s">
        <v>447</v>
      </c>
      <c r="D63" s="20"/>
      <c r="E63" s="19" t="s">
        <v>54</v>
      </c>
      <c r="F63" s="21" t="n">
        <v>10</v>
      </c>
      <c r="G63" s="19" t="s">
        <v>143</v>
      </c>
      <c r="H63" s="32"/>
      <c r="I63" s="23" t="n">
        <f aca="false">IF(ISNUMBER(H63),H63,IF(G63&lt;&gt;"",IFERROR(INDEX(Прайс!$G$5:$G$150,MATCH(G63,Прайс!$A$5:$A$150,0)),""),""))</f>
        <v>25000</v>
      </c>
      <c r="J63" s="24" t="n">
        <f aca="false">IF(AND(ISNUMBER(F63),ISNUMBER(I63)),F63*I63,"")</f>
        <v>250000</v>
      </c>
      <c r="K63" s="19" t="s">
        <v>296</v>
      </c>
      <c r="L63" s="20" t="s">
        <v>428</v>
      </c>
    </row>
    <row r="64" customFormat="false" ht="15" hidden="false" customHeight="true" outlineLevel="0" collapsed="false">
      <c r="A64" s="19" t="n">
        <v>60</v>
      </c>
      <c r="B64" s="19" t="s">
        <v>11</v>
      </c>
      <c r="C64" s="20" t="s">
        <v>448</v>
      </c>
      <c r="D64" s="20"/>
      <c r="E64" s="19" t="s">
        <v>54</v>
      </c>
      <c r="F64" s="21" t="n">
        <v>11</v>
      </c>
      <c r="G64" s="19" t="s">
        <v>146</v>
      </c>
      <c r="H64" s="32"/>
      <c r="I64" s="23" t="n">
        <f aca="false">IF(ISNUMBER(H64),H64,IF(G64&lt;&gt;"",IFERROR(INDEX(Прайс!$G$5:$G$150,MATCH(G64,Прайс!$A$5:$A$150,0)),""),""))</f>
        <v>45000</v>
      </c>
      <c r="J64" s="24" t="n">
        <f aca="false">IF(AND(ISNUMBER(F64),ISNUMBER(I64)),F64*I64,"")</f>
        <v>495000</v>
      </c>
      <c r="K64" s="19" t="s">
        <v>296</v>
      </c>
      <c r="L64" s="20" t="s">
        <v>428</v>
      </c>
    </row>
    <row r="65" customFormat="false" ht="15" hidden="false" customHeight="true" outlineLevel="0" collapsed="false">
      <c r="A65" s="19" t="n">
        <v>61</v>
      </c>
      <c r="B65" s="19" t="s">
        <v>11</v>
      </c>
      <c r="C65" s="20" t="s">
        <v>449</v>
      </c>
      <c r="D65" s="20"/>
      <c r="E65" s="19" t="s">
        <v>54</v>
      </c>
      <c r="F65" s="21" t="n">
        <v>8</v>
      </c>
      <c r="G65" s="19" t="s">
        <v>148</v>
      </c>
      <c r="H65" s="32"/>
      <c r="I65" s="23" t="n">
        <f aca="false">IF(ISNUMBER(H65),H65,IF(G65&lt;&gt;"",IFERROR(INDEX(Прайс!$G$5:$G$150,MATCH(G65,Прайс!$A$5:$A$150,0)),""),""))</f>
        <v>65000</v>
      </c>
      <c r="J65" s="24" t="n">
        <f aca="false">IF(AND(ISNUMBER(F65),ISNUMBER(I65)),F65*I65,"")</f>
        <v>520000</v>
      </c>
      <c r="K65" s="19" t="s">
        <v>296</v>
      </c>
      <c r="L65" s="20" t="s">
        <v>428</v>
      </c>
    </row>
    <row r="66" customFormat="false" ht="15" hidden="false" customHeight="true" outlineLevel="0" collapsed="false">
      <c r="A66" s="19" t="n">
        <v>62</v>
      </c>
      <c r="B66" s="19" t="s">
        <v>11</v>
      </c>
      <c r="C66" s="20" t="s">
        <v>450</v>
      </c>
      <c r="D66" s="20"/>
      <c r="E66" s="19" t="s">
        <v>54</v>
      </c>
      <c r="F66" s="21" t="n">
        <v>12</v>
      </c>
      <c r="G66" s="19" t="s">
        <v>150</v>
      </c>
      <c r="H66" s="32"/>
      <c r="I66" s="23" t="n">
        <f aca="false">IF(ISNUMBER(H66),H66,IF(G66&lt;&gt;"",IFERROR(INDEX(Прайс!$G$5:$G$150,MATCH(G66,Прайс!$A$5:$A$150,0)),""),""))</f>
        <v>85000</v>
      </c>
      <c r="J66" s="24" t="n">
        <f aca="false">IF(AND(ISNUMBER(F66),ISNUMBER(I66)),F66*I66,"")</f>
        <v>1020000</v>
      </c>
      <c r="K66" s="19" t="s">
        <v>296</v>
      </c>
      <c r="L66" s="20" t="s">
        <v>428</v>
      </c>
    </row>
    <row r="67" customFormat="false" ht="15" hidden="false" customHeight="true" outlineLevel="0" collapsed="false">
      <c r="A67" s="19" t="n">
        <v>63</v>
      </c>
      <c r="B67" s="19" t="s">
        <v>11</v>
      </c>
      <c r="C67" s="20" t="s">
        <v>451</v>
      </c>
      <c r="D67" s="20"/>
      <c r="E67" s="19" t="s">
        <v>54</v>
      </c>
      <c r="F67" s="21" t="n">
        <v>4</v>
      </c>
      <c r="G67" s="19" t="s">
        <v>152</v>
      </c>
      <c r="H67" s="32"/>
      <c r="I67" s="23" t="n">
        <f aca="false">IF(ISNUMBER(H67),H67,IF(G67&lt;&gt;"",IFERROR(INDEX(Прайс!$G$5:$G$150,MATCH(G67,Прайс!$A$5:$A$150,0)),""),""))</f>
        <v>105000</v>
      </c>
      <c r="J67" s="24" t="n">
        <f aca="false">IF(AND(ISNUMBER(F67),ISNUMBER(I67)),F67*I67,"")</f>
        <v>420000</v>
      </c>
      <c r="K67" s="19" t="s">
        <v>296</v>
      </c>
      <c r="L67" s="20" t="s">
        <v>428</v>
      </c>
    </row>
    <row r="68" customFormat="false" ht="23.25" hidden="false" customHeight="true" outlineLevel="0" collapsed="false">
      <c r="A68" s="19" t="n">
        <v>64</v>
      </c>
      <c r="B68" s="19" t="s">
        <v>11</v>
      </c>
      <c r="C68" s="20" t="s">
        <v>452</v>
      </c>
      <c r="D68" s="20" t="s">
        <v>453</v>
      </c>
      <c r="E68" s="19" t="s">
        <v>54</v>
      </c>
      <c r="F68" s="21" t="n">
        <v>32</v>
      </c>
      <c r="G68" s="19" t="s">
        <v>140</v>
      </c>
      <c r="H68" s="32"/>
      <c r="I68" s="23" t="n">
        <f aca="false">IF(ISNUMBER(H68),H68,IF(G68&lt;&gt;"",IFERROR(INDEX(Прайс!$G$5:$G$150,MATCH(G68,Прайс!$A$5:$A$150,0)),""),""))</f>
        <v>65000</v>
      </c>
      <c r="J68" s="24" t="n">
        <f aca="false">IF(AND(ISNUMBER(F68),ISNUMBER(I68)),F68*I68,"")</f>
        <v>2080000</v>
      </c>
      <c r="K68" s="19" t="s">
        <v>454</v>
      </c>
      <c r="L68" s="20" t="s">
        <v>455</v>
      </c>
    </row>
    <row r="69" customFormat="false" ht="23.25" hidden="false" customHeight="true" outlineLevel="0" collapsed="false">
      <c r="A69" s="19" t="n">
        <v>65</v>
      </c>
      <c r="B69" s="19" t="s">
        <v>11</v>
      </c>
      <c r="C69" s="20" t="s">
        <v>456</v>
      </c>
      <c r="D69" s="20" t="s">
        <v>457</v>
      </c>
      <c r="E69" s="19" t="s">
        <v>54</v>
      </c>
      <c r="F69" s="21" t="n">
        <v>8</v>
      </c>
      <c r="G69" s="19" t="s">
        <v>140</v>
      </c>
      <c r="H69" s="32"/>
      <c r="I69" s="23" t="n">
        <f aca="false">IF(ISNUMBER(H69),H69,IF(G69&lt;&gt;"",IFERROR(INDEX(Прайс!$G$5:$G$150,MATCH(G69,Прайс!$A$5:$A$150,0)),""),""))</f>
        <v>65000</v>
      </c>
      <c r="J69" s="24" t="n">
        <f aca="false">IF(AND(ISNUMBER(F69),ISNUMBER(I69)),F69*I69,"")</f>
        <v>520000</v>
      </c>
      <c r="K69" s="19" t="s">
        <v>296</v>
      </c>
      <c r="L69" s="20" t="s">
        <v>458</v>
      </c>
    </row>
    <row r="70" customFormat="false" ht="23.25" hidden="false" customHeight="true" outlineLevel="0" collapsed="false">
      <c r="A70" s="19" t="n">
        <v>66</v>
      </c>
      <c r="B70" s="19" t="s">
        <v>11</v>
      </c>
      <c r="C70" s="20" t="s">
        <v>459</v>
      </c>
      <c r="D70" s="20" t="s">
        <v>460</v>
      </c>
      <c r="E70" s="19" t="s">
        <v>54</v>
      </c>
      <c r="F70" s="21" t="n">
        <v>4</v>
      </c>
      <c r="G70" s="19" t="s">
        <v>140</v>
      </c>
      <c r="H70" s="32"/>
      <c r="I70" s="23" t="n">
        <f aca="false">IF(ISNUMBER(H70),H70,IF(G70&lt;&gt;"",IFERROR(INDEX(Прайс!$G$5:$G$150,MATCH(G70,Прайс!$A$5:$A$150,0)),""),""))</f>
        <v>65000</v>
      </c>
      <c r="J70" s="24" t="n">
        <f aca="false">IF(AND(ISNUMBER(F70),ISNUMBER(I70)),F70*I70,"")</f>
        <v>260000</v>
      </c>
      <c r="K70" s="19" t="s">
        <v>296</v>
      </c>
      <c r="L70" s="20" t="s">
        <v>461</v>
      </c>
    </row>
    <row r="71" customFormat="false" ht="23.25" hidden="false" customHeight="true" outlineLevel="0" collapsed="false">
      <c r="A71" s="19" t="n">
        <v>67</v>
      </c>
      <c r="B71" s="19" t="s">
        <v>11</v>
      </c>
      <c r="C71" s="20" t="s">
        <v>462</v>
      </c>
      <c r="D71" s="20"/>
      <c r="E71" s="19" t="s">
        <v>54</v>
      </c>
      <c r="F71" s="21" t="n">
        <v>2</v>
      </c>
      <c r="G71" s="19" t="s">
        <v>154</v>
      </c>
      <c r="H71" s="32"/>
      <c r="I71" s="23" t="n">
        <f aca="false">IF(ISNUMBER(H71),H71,IF(G71&lt;&gt;"",IFERROR(INDEX(Прайс!$G$5:$G$150,MATCH(G71,Прайс!$A$5:$A$150,0)),""),""))</f>
        <v>1400000</v>
      </c>
      <c r="J71" s="24" t="n">
        <f aca="false">IF(AND(ISNUMBER(F71),ISNUMBER(I71)),F71*I71,"")</f>
        <v>2800000</v>
      </c>
      <c r="K71" s="19" t="s">
        <v>296</v>
      </c>
      <c r="L71" s="20" t="s">
        <v>463</v>
      </c>
    </row>
    <row r="72" customFormat="false" ht="23.25" hidden="false" customHeight="true" outlineLevel="0" collapsed="false">
      <c r="A72" s="19" t="n">
        <v>68</v>
      </c>
      <c r="B72" s="19" t="s">
        <v>11</v>
      </c>
      <c r="C72" s="20" t="s">
        <v>464</v>
      </c>
      <c r="D72" s="20" t="s">
        <v>465</v>
      </c>
      <c r="E72" s="19" t="s">
        <v>54</v>
      </c>
      <c r="F72" s="21" t="n">
        <v>9</v>
      </c>
      <c r="G72" s="19" t="s">
        <v>156</v>
      </c>
      <c r="H72" s="32"/>
      <c r="I72" s="23" t="n">
        <f aca="false">IF(ISNUMBER(H72),H72,IF(G72&lt;&gt;"",IFERROR(INDEX(Прайс!$G$5:$G$150,MATCH(G72,Прайс!$A$5:$A$150,0)),""),""))</f>
        <v>120000</v>
      </c>
      <c r="J72" s="24" t="n">
        <f aca="false">IF(AND(ISNUMBER(F72),ISNUMBER(I72)),F72*I72,"")</f>
        <v>1080000</v>
      </c>
      <c r="K72" s="19" t="s">
        <v>296</v>
      </c>
      <c r="L72" s="20" t="s">
        <v>466</v>
      </c>
    </row>
    <row r="73" customFormat="false" ht="15" hidden="false" customHeight="true" outlineLevel="0" collapsed="false">
      <c r="A73" s="19" t="n">
        <v>69</v>
      </c>
      <c r="B73" s="19" t="s">
        <v>11</v>
      </c>
      <c r="C73" s="20" t="s">
        <v>160</v>
      </c>
      <c r="D73" s="20" t="s">
        <v>467</v>
      </c>
      <c r="E73" s="19" t="s">
        <v>54</v>
      </c>
      <c r="F73" s="25" t="n">
        <v>4</v>
      </c>
      <c r="G73" s="19" t="s">
        <v>159</v>
      </c>
      <c r="H73" s="32"/>
      <c r="I73" s="23" t="n">
        <f aca="false">IF(ISNUMBER(H73),H73,IF(G73&lt;&gt;"",IFERROR(INDEX(Прайс!$G$5:$G$150,MATCH(G73,Прайс!$A$5:$A$150,0)),""),""))</f>
        <v>400000</v>
      </c>
      <c r="J73" s="24" t="n">
        <f aca="false">IF(AND(ISNUMBER(F73),ISNUMBER(I73)),F73*I73,"")</f>
        <v>1600000</v>
      </c>
      <c r="K73" s="19" t="s">
        <v>468</v>
      </c>
      <c r="L73" s="20" t="s">
        <v>469</v>
      </c>
    </row>
    <row r="74" customFormat="false" ht="23.25" hidden="false" customHeight="true" outlineLevel="0" collapsed="false">
      <c r="A74" s="19" t="n">
        <v>70</v>
      </c>
      <c r="B74" s="19" t="s">
        <v>11</v>
      </c>
      <c r="C74" s="20" t="s">
        <v>470</v>
      </c>
      <c r="D74" s="20"/>
      <c r="E74" s="19" t="s">
        <v>54</v>
      </c>
      <c r="F74" s="21" t="n">
        <v>10</v>
      </c>
      <c r="G74" s="19" t="s">
        <v>161</v>
      </c>
      <c r="H74" s="32"/>
      <c r="I74" s="23" t="n">
        <f aca="false">IF(ISNUMBER(H74),H74,IF(G74&lt;&gt;"",IFERROR(INDEX(Прайс!$G$5:$G$150,MATCH(G74,Прайс!$A$5:$A$150,0)),""),""))</f>
        <v>150000</v>
      </c>
      <c r="J74" s="24" t="n">
        <f aca="false">IF(AND(ISNUMBER(F74),ISNUMBER(I74)),F74*I74,"")</f>
        <v>1500000</v>
      </c>
      <c r="K74" s="19" t="s">
        <v>296</v>
      </c>
      <c r="L74" s="20" t="s">
        <v>471</v>
      </c>
    </row>
    <row r="75" customFormat="false" ht="15" hidden="false" customHeight="true" outlineLevel="0" collapsed="false">
      <c r="A75" s="19" t="n">
        <v>71</v>
      </c>
      <c r="B75" s="19" t="s">
        <v>13</v>
      </c>
      <c r="C75" s="20" t="s">
        <v>472</v>
      </c>
      <c r="D75" s="20" t="s">
        <v>473</v>
      </c>
      <c r="E75" s="19" t="s">
        <v>54</v>
      </c>
      <c r="F75" s="21" t="n">
        <v>140</v>
      </c>
      <c r="G75" s="19" t="s">
        <v>170</v>
      </c>
      <c r="H75" s="32"/>
      <c r="I75" s="23" t="n">
        <f aca="false">IF(ISNUMBER(H75),H75,IF(G75&lt;&gt;"",IFERROR(INDEX(Прайс!$G$5:$G$150,MATCH(G75,Прайс!$A$5:$A$150,0)),""),""))</f>
        <v>395000</v>
      </c>
      <c r="J75" s="24" t="n">
        <f aca="false">IF(AND(ISNUMBER(F75),ISNUMBER(I75)),F75*I75,"")</f>
        <v>55300000</v>
      </c>
      <c r="K75" s="19" t="s">
        <v>296</v>
      </c>
      <c r="L75" s="20" t="s">
        <v>474</v>
      </c>
    </row>
    <row r="76" customFormat="false" ht="15" hidden="false" customHeight="true" outlineLevel="0" collapsed="false">
      <c r="A76" s="19" t="n">
        <v>72</v>
      </c>
      <c r="B76" s="19" t="s">
        <v>14</v>
      </c>
      <c r="C76" s="20" t="s">
        <v>475</v>
      </c>
      <c r="D76" s="20" t="s">
        <v>476</v>
      </c>
      <c r="E76" s="19" t="s">
        <v>168</v>
      </c>
      <c r="F76" s="21" t="n">
        <v>290</v>
      </c>
      <c r="G76" s="19" t="s">
        <v>179</v>
      </c>
      <c r="H76" s="32"/>
      <c r="I76" s="23" t="n">
        <f aca="false">IF(ISNUMBER(H76),H76,IF(G76&lt;&gt;"",IFERROR(INDEX(Прайс!$G$5:$G$150,MATCH(G76,Прайс!$A$5:$A$150,0)),""),""))</f>
        <v>25000</v>
      </c>
      <c r="J76" s="24" t="n">
        <f aca="false">IF(AND(ISNUMBER(F76),ISNUMBER(I76)),F76*I76,"")</f>
        <v>7250000</v>
      </c>
      <c r="K76" s="19" t="s">
        <v>296</v>
      </c>
      <c r="L76" s="20" t="s">
        <v>477</v>
      </c>
    </row>
    <row r="77" customFormat="false" ht="15" hidden="false" customHeight="true" outlineLevel="0" collapsed="false">
      <c r="A77" s="19" t="n">
        <v>73</v>
      </c>
      <c r="B77" s="19" t="s">
        <v>14</v>
      </c>
      <c r="C77" s="20" t="s">
        <v>478</v>
      </c>
      <c r="D77" s="20" t="s">
        <v>479</v>
      </c>
      <c r="E77" s="19" t="s">
        <v>168</v>
      </c>
      <c r="F77" s="21" t="n">
        <v>350</v>
      </c>
      <c r="G77" s="19" t="s">
        <v>182</v>
      </c>
      <c r="H77" s="32"/>
      <c r="I77" s="23" t="n">
        <f aca="false">IF(ISNUMBER(H77),H77,IF(G77&lt;&gt;"",IFERROR(INDEX(Прайс!$G$5:$G$150,MATCH(G77,Прайс!$A$5:$A$150,0)),""),""))</f>
        <v>32000</v>
      </c>
      <c r="J77" s="24" t="n">
        <f aca="false">IF(AND(ISNUMBER(F77),ISNUMBER(I77)),F77*I77,"")</f>
        <v>11200000</v>
      </c>
      <c r="K77" s="19" t="s">
        <v>296</v>
      </c>
      <c r="L77" s="20" t="s">
        <v>477</v>
      </c>
    </row>
    <row r="78" customFormat="false" ht="23.25" hidden="false" customHeight="true" outlineLevel="0" collapsed="false">
      <c r="A78" s="19" t="n">
        <v>74</v>
      </c>
      <c r="B78" s="19" t="s">
        <v>14</v>
      </c>
      <c r="C78" s="20" t="s">
        <v>480</v>
      </c>
      <c r="D78" s="20" t="s">
        <v>481</v>
      </c>
      <c r="E78" s="19" t="s">
        <v>168</v>
      </c>
      <c r="F78" s="21" t="n">
        <v>7.82</v>
      </c>
      <c r="G78" s="19" t="s">
        <v>247</v>
      </c>
      <c r="H78" s="22"/>
      <c r="I78" s="23" t="n">
        <f aca="false">IF(ISNUMBER(H78),H78,IF(G78&lt;&gt;"",IFERROR(INDEX(Прайс!$G$5:$G$150,MATCH(G78,Прайс!$A$5:$A$150,0)),""),""))</f>
        <v>1800000</v>
      </c>
      <c r="J78" s="24" t="n">
        <f aca="false">IF(AND(ISNUMBER(F78),ISNUMBER(I78)),F78*I78,"")</f>
        <v>14076000</v>
      </c>
      <c r="K78" s="19" t="s">
        <v>296</v>
      </c>
      <c r="L78" s="20" t="s">
        <v>482</v>
      </c>
    </row>
    <row r="79" customFormat="false" ht="23.25" hidden="false" customHeight="true" outlineLevel="0" collapsed="false">
      <c r="A79" s="19" t="n">
        <v>75</v>
      </c>
      <c r="B79" s="19" t="s">
        <v>15</v>
      </c>
      <c r="C79" s="20" t="s">
        <v>483</v>
      </c>
      <c r="D79" s="20"/>
      <c r="E79" s="19" t="s">
        <v>194</v>
      </c>
      <c r="F79" s="21" t="n">
        <v>3</v>
      </c>
      <c r="G79" s="19" t="s">
        <v>192</v>
      </c>
      <c r="H79" s="32"/>
      <c r="I79" s="23" t="n">
        <f aca="false">IF(ISNUMBER(H79),H79,IF(G79&lt;&gt;"",IFERROR(INDEX(Прайс!$G$5:$G$150,MATCH(G79,Прайс!$A$5:$A$150,0)),""),""))</f>
        <v>350000</v>
      </c>
      <c r="J79" s="24" t="n">
        <f aca="false">IF(AND(ISNUMBER(F79),ISNUMBER(I79)),F79*I79,"")</f>
        <v>1050000</v>
      </c>
      <c r="K79" s="19" t="s">
        <v>296</v>
      </c>
      <c r="L79" s="20" t="s">
        <v>484</v>
      </c>
    </row>
    <row r="80" customFormat="false" ht="23.25" hidden="false" customHeight="true" outlineLevel="0" collapsed="false">
      <c r="A80" s="19" t="n">
        <v>76</v>
      </c>
      <c r="B80" s="19" t="s">
        <v>15</v>
      </c>
      <c r="C80" s="20" t="s">
        <v>485</v>
      </c>
      <c r="D80" s="20"/>
      <c r="E80" s="19" t="s">
        <v>194</v>
      </c>
      <c r="F80" s="21" t="n">
        <v>9</v>
      </c>
      <c r="G80" s="19" t="s">
        <v>192</v>
      </c>
      <c r="H80" s="32"/>
      <c r="I80" s="23" t="n">
        <f aca="false">IF(ISNUMBER(H80),H80,IF(G80&lt;&gt;"",IFERROR(INDEX(Прайс!$G$5:$G$150,MATCH(G80,Прайс!$A$5:$A$150,0)),""),""))</f>
        <v>350000</v>
      </c>
      <c r="J80" s="24" t="n">
        <f aca="false">IF(AND(ISNUMBER(F80),ISNUMBER(I80)),F80*I80,"")</f>
        <v>3150000</v>
      </c>
      <c r="K80" s="19" t="s">
        <v>296</v>
      </c>
      <c r="L80" s="20" t="s">
        <v>486</v>
      </c>
    </row>
    <row r="81" customFormat="false" ht="23.25" hidden="false" customHeight="true" outlineLevel="0" collapsed="false">
      <c r="A81" s="19" t="n">
        <v>77</v>
      </c>
      <c r="B81" s="19" t="s">
        <v>15</v>
      </c>
      <c r="C81" s="20" t="s">
        <v>487</v>
      </c>
      <c r="D81" s="20"/>
      <c r="E81" s="19" t="s">
        <v>54</v>
      </c>
      <c r="F81" s="21" t="n">
        <v>8</v>
      </c>
      <c r="G81" s="19" t="s">
        <v>195</v>
      </c>
      <c r="H81" s="32"/>
      <c r="I81" s="23" t="n">
        <f aca="false">IF(ISNUMBER(H81),H81,IF(G81&lt;&gt;"",IFERROR(INDEX(Прайс!$G$5:$G$150,MATCH(G81,Прайс!$A$5:$A$150,0)),""),""))</f>
        <v>35000</v>
      </c>
      <c r="J81" s="24" t="n">
        <f aca="false">IF(AND(ISNUMBER(F81),ISNUMBER(I81)),F81*I81,"")</f>
        <v>280000</v>
      </c>
      <c r="K81" s="19" t="s">
        <v>296</v>
      </c>
      <c r="L81" s="20"/>
    </row>
    <row r="82" customFormat="false" ht="15" hidden="false" customHeight="true" outlineLevel="0" collapsed="false">
      <c r="A82" s="19" t="n">
        <v>78</v>
      </c>
      <c r="B82" s="19" t="s">
        <v>15</v>
      </c>
      <c r="C82" s="20" t="s">
        <v>488</v>
      </c>
      <c r="D82" s="20"/>
      <c r="E82" s="19" t="s">
        <v>54</v>
      </c>
      <c r="F82" s="21" t="n">
        <v>2</v>
      </c>
      <c r="G82" s="19" t="s">
        <v>195</v>
      </c>
      <c r="H82" s="32"/>
      <c r="I82" s="23" t="n">
        <f aca="false">IF(ISNUMBER(H82),H82,IF(G82&lt;&gt;"",IFERROR(INDEX(Прайс!$G$5:$G$150,MATCH(G82,Прайс!$A$5:$A$150,0)),""),""))</f>
        <v>35000</v>
      </c>
      <c r="J82" s="24" t="n">
        <f aca="false">IF(AND(ISNUMBER(F82),ISNUMBER(I82)),F82*I82,"")</f>
        <v>70000</v>
      </c>
      <c r="K82" s="19" t="s">
        <v>296</v>
      </c>
      <c r="L82" s="20"/>
    </row>
    <row r="83" customFormat="false" ht="15" hidden="false" customHeight="true" outlineLevel="0" collapsed="false">
      <c r="A83" s="19" t="n">
        <v>79</v>
      </c>
      <c r="B83" s="19" t="s">
        <v>15</v>
      </c>
      <c r="C83" s="20" t="s">
        <v>489</v>
      </c>
      <c r="D83" s="20"/>
      <c r="E83" s="19" t="s">
        <v>54</v>
      </c>
      <c r="F83" s="21" t="n">
        <v>14</v>
      </c>
      <c r="G83" s="19" t="s">
        <v>195</v>
      </c>
      <c r="H83" s="32"/>
      <c r="I83" s="23" t="n">
        <f aca="false">IF(ISNUMBER(H83),H83,IF(G83&lt;&gt;"",IFERROR(INDEX(Прайс!$G$5:$G$150,MATCH(G83,Прайс!$A$5:$A$150,0)),""),""))</f>
        <v>35000</v>
      </c>
      <c r="J83" s="24" t="n">
        <f aca="false">IF(AND(ISNUMBER(F83),ISNUMBER(I83)),F83*I83,"")</f>
        <v>490000</v>
      </c>
      <c r="K83" s="19" t="s">
        <v>296</v>
      </c>
      <c r="L83" s="20"/>
    </row>
    <row r="84" customFormat="false" ht="15" hidden="false" customHeight="true" outlineLevel="0" collapsed="false">
      <c r="A84" s="19" t="n">
        <v>80</v>
      </c>
      <c r="B84" s="19" t="s">
        <v>13</v>
      </c>
      <c r="C84" s="20" t="s">
        <v>490</v>
      </c>
      <c r="D84" s="20" t="s">
        <v>491</v>
      </c>
      <c r="E84" s="19" t="s">
        <v>54</v>
      </c>
      <c r="F84" s="33" t="n">
        <v>15</v>
      </c>
      <c r="G84" s="19" t="s">
        <v>170</v>
      </c>
      <c r="H84" s="22"/>
      <c r="I84" s="23" t="n">
        <f aca="false">IF(ISNUMBER(H84),H84,IF(G84&lt;&gt;"",IFERROR(INDEX(Прайс!$G$5:$G$150,MATCH(G84,Прайс!$A$5:$A$150,0)),""),""))</f>
        <v>395000</v>
      </c>
      <c r="J84" s="24" t="n">
        <f aca="false">IF(AND(ISNUMBER(F84),ISNUMBER(I84)),F84*I84,"")</f>
        <v>5925000</v>
      </c>
      <c r="K84" s="19" t="s">
        <v>492</v>
      </c>
      <c r="L84" s="20" t="s">
        <v>493</v>
      </c>
    </row>
    <row r="85" customFormat="false" ht="23.25" hidden="false" customHeight="true" outlineLevel="0" collapsed="false">
      <c r="A85" s="19" t="n">
        <v>81</v>
      </c>
      <c r="B85" s="19" t="s">
        <v>21</v>
      </c>
      <c r="C85" s="20" t="s">
        <v>494</v>
      </c>
      <c r="D85" s="20" t="s">
        <v>495</v>
      </c>
      <c r="E85" s="19" t="s">
        <v>168</v>
      </c>
      <c r="F85" s="21" t="n">
        <v>2.64</v>
      </c>
      <c r="G85" s="19" t="s">
        <v>239</v>
      </c>
      <c r="H85" s="22"/>
      <c r="I85" s="23" t="n">
        <f aca="false">IF(ISNUMBER(H85),H85,IF(G85&lt;&gt;"",IFERROR(INDEX(Прайс!$G$5:$G$150,MATCH(G85,Прайс!$A$5:$A$150,0)),""),""))</f>
        <v>4000000</v>
      </c>
      <c r="J85" s="24" t="n">
        <f aca="false">IF(AND(ISNUMBER(F85),ISNUMBER(I85)),F85*I85,"")</f>
        <v>10560000</v>
      </c>
      <c r="K85" s="19" t="s">
        <v>296</v>
      </c>
      <c r="L85" s="20" t="s">
        <v>496</v>
      </c>
    </row>
    <row r="86" customFormat="false" ht="23.25" hidden="false" customHeight="true" outlineLevel="0" collapsed="false">
      <c r="A86" s="19" t="n">
        <v>82</v>
      </c>
      <c r="B86" s="19" t="s">
        <v>21</v>
      </c>
      <c r="C86" s="20" t="s">
        <v>497</v>
      </c>
      <c r="D86" s="20" t="s">
        <v>498</v>
      </c>
      <c r="E86" s="19" t="s">
        <v>168</v>
      </c>
      <c r="F86" s="21" t="n">
        <v>2.65</v>
      </c>
      <c r="G86" s="19" t="s">
        <v>239</v>
      </c>
      <c r="H86" s="22"/>
      <c r="I86" s="23" t="n">
        <f aca="false">IF(ISNUMBER(H86),H86,IF(G86&lt;&gt;"",IFERROR(INDEX(Прайс!$G$5:$G$150,MATCH(G86,Прайс!$A$5:$A$150,0)),""),""))</f>
        <v>4000000</v>
      </c>
      <c r="J86" s="24" t="n">
        <f aca="false">IF(AND(ISNUMBER(F86),ISNUMBER(I86)),F86*I86,"")</f>
        <v>10600000</v>
      </c>
      <c r="K86" s="19" t="s">
        <v>296</v>
      </c>
      <c r="L86" s="20" t="s">
        <v>499</v>
      </c>
    </row>
    <row r="87" customFormat="false" ht="23.25" hidden="false" customHeight="true" outlineLevel="0" collapsed="false">
      <c r="A87" s="19" t="n">
        <v>83</v>
      </c>
      <c r="B87" s="19" t="s">
        <v>21</v>
      </c>
      <c r="C87" s="20" t="s">
        <v>500</v>
      </c>
      <c r="D87" s="20" t="s">
        <v>501</v>
      </c>
      <c r="E87" s="19" t="s">
        <v>168</v>
      </c>
      <c r="F87" s="21" t="n">
        <v>2.79</v>
      </c>
      <c r="G87" s="19" t="s">
        <v>239</v>
      </c>
      <c r="H87" s="22"/>
      <c r="I87" s="23" t="n">
        <f aca="false">IF(ISNUMBER(H87),H87,IF(G87&lt;&gt;"",IFERROR(INDEX(Прайс!$G$5:$G$150,MATCH(G87,Прайс!$A$5:$A$150,0)),""),""))</f>
        <v>4000000</v>
      </c>
      <c r="J87" s="24" t="n">
        <f aca="false">IF(AND(ISNUMBER(F87),ISNUMBER(I87)),F87*I87,"")</f>
        <v>11160000</v>
      </c>
      <c r="K87" s="19" t="s">
        <v>296</v>
      </c>
      <c r="L87" s="20" t="s">
        <v>502</v>
      </c>
    </row>
    <row r="88" customFormat="false" ht="23.25" hidden="false" customHeight="true" outlineLevel="0" collapsed="false">
      <c r="A88" s="19" t="n">
        <v>84</v>
      </c>
      <c r="B88" s="19" t="s">
        <v>21</v>
      </c>
      <c r="C88" s="20" t="s">
        <v>503</v>
      </c>
      <c r="D88" s="20" t="s">
        <v>504</v>
      </c>
      <c r="E88" s="19" t="s">
        <v>168</v>
      </c>
      <c r="F88" s="21" t="n">
        <v>1.54</v>
      </c>
      <c r="G88" s="19" t="s">
        <v>239</v>
      </c>
      <c r="H88" s="22"/>
      <c r="I88" s="23" t="n">
        <f aca="false">IF(ISNUMBER(H88),H88,IF(G88&lt;&gt;"",IFERROR(INDEX(Прайс!$G$5:$G$150,MATCH(G88,Прайс!$A$5:$A$150,0)),""),""))</f>
        <v>4000000</v>
      </c>
      <c r="J88" s="24" t="n">
        <f aca="false">IF(AND(ISNUMBER(F88),ISNUMBER(I88)),F88*I88,"")</f>
        <v>6160000</v>
      </c>
      <c r="K88" s="19" t="s">
        <v>296</v>
      </c>
      <c r="L88" s="20" t="s">
        <v>505</v>
      </c>
    </row>
    <row r="89" customFormat="false" ht="23.25" hidden="false" customHeight="true" outlineLevel="0" collapsed="false">
      <c r="A89" s="19" t="n">
        <v>85</v>
      </c>
      <c r="B89" s="19" t="s">
        <v>21</v>
      </c>
      <c r="C89" s="20" t="s">
        <v>506</v>
      </c>
      <c r="D89" s="20" t="s">
        <v>507</v>
      </c>
      <c r="E89" s="19" t="s">
        <v>168</v>
      </c>
      <c r="F89" s="21" t="n">
        <v>2.79</v>
      </c>
      <c r="G89" s="19" t="s">
        <v>239</v>
      </c>
      <c r="H89" s="22"/>
      <c r="I89" s="23" t="n">
        <f aca="false">IF(ISNUMBER(H89),H89,IF(G89&lt;&gt;"",IFERROR(INDEX(Прайс!$G$5:$G$150,MATCH(G89,Прайс!$A$5:$A$150,0)),""),""))</f>
        <v>4000000</v>
      </c>
      <c r="J89" s="24" t="n">
        <f aca="false">IF(AND(ISNUMBER(F89),ISNUMBER(I89)),F89*I89,"")</f>
        <v>11160000</v>
      </c>
      <c r="K89" s="19" t="s">
        <v>296</v>
      </c>
      <c r="L89" s="20" t="s">
        <v>508</v>
      </c>
    </row>
    <row r="90" customFormat="false" ht="23.25" hidden="false" customHeight="true" outlineLevel="0" collapsed="false">
      <c r="A90" s="19" t="n">
        <v>86</v>
      </c>
      <c r="B90" s="19" t="s">
        <v>21</v>
      </c>
      <c r="C90" s="20" t="s">
        <v>509</v>
      </c>
      <c r="D90" s="20" t="s">
        <v>510</v>
      </c>
      <c r="E90" s="19" t="s">
        <v>168</v>
      </c>
      <c r="F90" s="21" t="n">
        <v>1.52</v>
      </c>
      <c r="G90" s="19" t="s">
        <v>239</v>
      </c>
      <c r="H90" s="22"/>
      <c r="I90" s="23" t="n">
        <f aca="false">IF(ISNUMBER(H90),H90,IF(G90&lt;&gt;"",IFERROR(INDEX(Прайс!$G$5:$G$150,MATCH(G90,Прайс!$A$5:$A$150,0)),""),""))</f>
        <v>4000000</v>
      </c>
      <c r="J90" s="24" t="n">
        <f aca="false">IF(AND(ISNUMBER(F90),ISNUMBER(I90)),F90*I90,"")</f>
        <v>6080000</v>
      </c>
      <c r="K90" s="19" t="s">
        <v>296</v>
      </c>
      <c r="L90" s="20" t="s">
        <v>511</v>
      </c>
    </row>
    <row r="91" customFormat="false" ht="34.5" hidden="false" customHeight="true" outlineLevel="0" collapsed="false">
      <c r="A91" s="19" t="n">
        <v>87</v>
      </c>
      <c r="B91" s="19" t="s">
        <v>22</v>
      </c>
      <c r="C91" s="20" t="s">
        <v>512</v>
      </c>
      <c r="D91" s="20" t="s">
        <v>513</v>
      </c>
      <c r="E91" s="19" t="s">
        <v>54</v>
      </c>
      <c r="F91" s="25" t="n">
        <v>54</v>
      </c>
      <c r="G91" s="19" t="s">
        <v>242</v>
      </c>
      <c r="H91" s="22"/>
      <c r="I91" s="23" t="n">
        <f aca="false">IF(ISNUMBER(H91),H91,IF(G91&lt;&gt;"",IFERROR(INDEX(Прайс!$G$5:$G$150,MATCH(G91,Прайс!$A$5:$A$150,0)),""),""))</f>
        <v>90000</v>
      </c>
      <c r="J91" s="24" t="n">
        <f aca="false">IF(AND(ISNUMBER(F91),ISNUMBER(I91)),F91*I91,"")</f>
        <v>4860000</v>
      </c>
      <c r="K91" s="19" t="s">
        <v>296</v>
      </c>
      <c r="L91" s="20" t="s">
        <v>514</v>
      </c>
    </row>
    <row r="92" customFormat="false" ht="34.5" hidden="false" customHeight="true" outlineLevel="0" collapsed="false">
      <c r="A92" s="19" t="n">
        <v>88</v>
      </c>
      <c r="B92" s="19" t="s">
        <v>22</v>
      </c>
      <c r="C92" s="20" t="s">
        <v>515</v>
      </c>
      <c r="D92" s="20" t="s">
        <v>513</v>
      </c>
      <c r="E92" s="19" t="s">
        <v>54</v>
      </c>
      <c r="F92" s="25" t="n">
        <v>54</v>
      </c>
      <c r="G92" s="19" t="s">
        <v>242</v>
      </c>
      <c r="H92" s="22"/>
      <c r="I92" s="23" t="n">
        <f aca="false">IF(ISNUMBER(H92),H92,IF(G92&lt;&gt;"",IFERROR(INDEX(Прайс!$G$5:$G$150,MATCH(G92,Прайс!$A$5:$A$150,0)),""),""))</f>
        <v>90000</v>
      </c>
      <c r="J92" s="24" t="n">
        <f aca="false">IF(AND(ISNUMBER(F92),ISNUMBER(I92)),F92*I92,"")</f>
        <v>4860000</v>
      </c>
      <c r="K92" s="19" t="s">
        <v>296</v>
      </c>
      <c r="L92" s="20" t="s">
        <v>516</v>
      </c>
    </row>
    <row r="93" customFormat="false" ht="34.5" hidden="false" customHeight="true" outlineLevel="0" collapsed="false">
      <c r="A93" s="19" t="n">
        <v>89</v>
      </c>
      <c r="B93" s="19" t="s">
        <v>22</v>
      </c>
      <c r="C93" s="20" t="s">
        <v>517</v>
      </c>
      <c r="D93" s="20" t="s">
        <v>518</v>
      </c>
      <c r="E93" s="19" t="s">
        <v>54</v>
      </c>
      <c r="F93" s="21" t="n">
        <v>1</v>
      </c>
      <c r="G93" s="19" t="s">
        <v>244</v>
      </c>
      <c r="H93" s="22"/>
      <c r="I93" s="23" t="n">
        <f aca="false">IF(ISNUMBER(H93),H93,IF(G93&lt;&gt;"",IFERROR(INDEX(Прайс!$G$5:$G$150,MATCH(G93,Прайс!$A$5:$A$150,0)),""),""))</f>
        <v>4500000</v>
      </c>
      <c r="J93" s="24" t="n">
        <f aca="false">IF(AND(ISNUMBER(F93),ISNUMBER(I93)),F93*I93,"")</f>
        <v>4500000</v>
      </c>
      <c r="K93" s="19" t="s">
        <v>296</v>
      </c>
      <c r="L93" s="20" t="s">
        <v>519</v>
      </c>
    </row>
    <row r="94" customFormat="false" ht="34.5" hidden="false" customHeight="true" outlineLevel="0" collapsed="false">
      <c r="A94" s="19" t="n">
        <v>90</v>
      </c>
      <c r="B94" s="19" t="s">
        <v>23</v>
      </c>
      <c r="C94" s="20" t="s">
        <v>520</v>
      </c>
      <c r="D94" s="20" t="s">
        <v>521</v>
      </c>
      <c r="E94" s="19" t="s">
        <v>54</v>
      </c>
      <c r="F94" s="21" t="n">
        <v>2</v>
      </c>
      <c r="G94" s="19" t="s">
        <v>253</v>
      </c>
      <c r="H94" s="22"/>
      <c r="I94" s="23" t="n">
        <f aca="false">IF(ISNUMBER(H94),H94,IF(G94&lt;&gt;"",IFERROR(INDEX(Прайс!$G$5:$G$150,MATCH(G94,Прайс!$A$5:$A$150,0)),""),""))</f>
        <v>2500000</v>
      </c>
      <c r="J94" s="24" t="n">
        <f aca="false">IF(AND(ISNUMBER(F94),ISNUMBER(I94)),F94*I94,"")</f>
        <v>5000000</v>
      </c>
      <c r="K94" s="19" t="s">
        <v>296</v>
      </c>
      <c r="L94" s="20" t="s">
        <v>522</v>
      </c>
    </row>
    <row r="95" customFormat="false" ht="15" hidden="false" customHeight="true" outlineLevel="0" collapsed="false">
      <c r="A95" s="19" t="n">
        <v>91</v>
      </c>
      <c r="B95" s="19" t="s">
        <v>23</v>
      </c>
      <c r="C95" s="20" t="s">
        <v>523</v>
      </c>
      <c r="D95" s="20" t="s">
        <v>524</v>
      </c>
      <c r="E95" s="19" t="s">
        <v>54</v>
      </c>
      <c r="F95" s="21" t="n">
        <v>1</v>
      </c>
      <c r="G95" s="19" t="s">
        <v>258</v>
      </c>
      <c r="H95" s="22"/>
      <c r="I95" s="23" t="n">
        <f aca="false">IF(ISNUMBER(H95),H95,IF(G95&lt;&gt;"",IFERROR(INDEX(Прайс!$G$5:$G$150,MATCH(G95,Прайс!$A$5:$A$150,0)),""),""))</f>
        <v>1500000</v>
      </c>
      <c r="J95" s="24" t="n">
        <f aca="false">IF(AND(ISNUMBER(F95),ISNUMBER(I95)),F95*I95,"")</f>
        <v>1500000</v>
      </c>
      <c r="K95" s="19" t="s">
        <v>296</v>
      </c>
      <c r="L95" s="20" t="s">
        <v>525</v>
      </c>
    </row>
    <row r="96" customFormat="false" ht="34.5" hidden="false" customHeight="true" outlineLevel="0" collapsed="false">
      <c r="A96" s="19" t="n">
        <v>92</v>
      </c>
      <c r="B96" s="19" t="s">
        <v>23</v>
      </c>
      <c r="C96" s="20" t="s">
        <v>526</v>
      </c>
      <c r="D96" s="20" t="s">
        <v>527</v>
      </c>
      <c r="E96" s="19" t="s">
        <v>168</v>
      </c>
      <c r="F96" s="25" t="n">
        <v>130</v>
      </c>
      <c r="G96" s="19"/>
      <c r="H96" s="22"/>
      <c r="I96" s="23" t="str">
        <f aca="false">IF(ISNUMBER(H96),H96,IF(G96&lt;&gt;"",IFERROR(INDEX(Прайс!$G$5:$G$150,MATCH(G96,Прайс!$A$5:$A$150,0)),""),""))</f>
        <v/>
      </c>
      <c r="J96" s="24" t="str">
        <f aca="false">IF(AND(ISNUMBER(F96),ISNUMBER(I96)),F96*I96,"")</f>
        <v/>
      </c>
      <c r="K96" s="19" t="s">
        <v>528</v>
      </c>
      <c r="L96" s="20" t="s">
        <v>529</v>
      </c>
    </row>
    <row r="97" customFormat="false" ht="34.5" hidden="false" customHeight="true" outlineLevel="0" collapsed="false">
      <c r="A97" s="19" t="n">
        <v>93</v>
      </c>
      <c r="B97" s="19" t="s">
        <v>24</v>
      </c>
      <c r="C97" s="20" t="s">
        <v>530</v>
      </c>
      <c r="D97" s="20" t="s">
        <v>531</v>
      </c>
      <c r="E97" s="19" t="s">
        <v>54</v>
      </c>
      <c r="F97" s="21" t="n">
        <v>7</v>
      </c>
      <c r="G97" s="19" t="s">
        <v>263</v>
      </c>
      <c r="H97" s="22"/>
      <c r="I97" s="23" t="n">
        <f aca="false">IF(ISNUMBER(H97),H97,IF(G97&lt;&gt;"",IFERROR(INDEX(Прайс!$G$5:$G$150,MATCH(G97,Прайс!$A$5:$A$150,0)),""),""))</f>
        <v>6000000</v>
      </c>
      <c r="J97" s="24" t="n">
        <f aca="false">IF(AND(ISNUMBER(F97),ISNUMBER(I97)),F97*I97,"")</f>
        <v>42000000</v>
      </c>
      <c r="K97" s="19" t="s">
        <v>332</v>
      </c>
      <c r="L97" s="20" t="s">
        <v>532</v>
      </c>
    </row>
    <row r="98" customFormat="false" ht="23.25" hidden="false" customHeight="true" outlineLevel="0" collapsed="false">
      <c r="A98" s="19" t="n">
        <v>94</v>
      </c>
      <c r="B98" s="19" t="s">
        <v>9</v>
      </c>
      <c r="C98" s="20" t="s">
        <v>533</v>
      </c>
      <c r="D98" s="20" t="s">
        <v>534</v>
      </c>
      <c r="E98" s="19" t="s">
        <v>54</v>
      </c>
      <c r="F98" s="25" t="n">
        <v>8</v>
      </c>
      <c r="G98" s="19" t="s">
        <v>106</v>
      </c>
      <c r="H98" s="32"/>
      <c r="I98" s="23" t="n">
        <f aca="false">IF(ISNUMBER(H98),H98,IF(G98&lt;&gt;"",IFERROR(INDEX(Прайс!$G$5:$G$150,MATCH(G98,Прайс!$A$5:$A$150,0)),""),""))</f>
        <v>200000</v>
      </c>
      <c r="J98" s="24" t="n">
        <f aca="false">IF(AND(ISNUMBER(F98),ISNUMBER(I98)),F98*I98,"")</f>
        <v>1600000</v>
      </c>
      <c r="K98" s="19" t="s">
        <v>492</v>
      </c>
      <c r="L98" s="20" t="s">
        <v>535</v>
      </c>
    </row>
    <row r="99" customFormat="false" ht="15" hidden="false" customHeight="true" outlineLevel="0" collapsed="false">
      <c r="A99" s="19" t="n">
        <v>95</v>
      </c>
      <c r="B99" s="19" t="s">
        <v>9</v>
      </c>
      <c r="C99" s="20" t="s">
        <v>536</v>
      </c>
      <c r="D99" s="20" t="s">
        <v>537</v>
      </c>
      <c r="E99" s="19" t="s">
        <v>54</v>
      </c>
      <c r="F99" s="25" t="n">
        <v>50</v>
      </c>
      <c r="G99" s="19" t="s">
        <v>104</v>
      </c>
      <c r="H99" s="32"/>
      <c r="I99" s="23" t="n">
        <f aca="false">IF(ISNUMBER(H99),H99,IF(G99&lt;&gt;"",IFERROR(INDEX(Прайс!$G$5:$G$150,MATCH(G99,Прайс!$A$5:$A$150,0)),""),""))</f>
        <v>35000</v>
      </c>
      <c r="J99" s="24" t="n">
        <f aca="false">IF(AND(ISNUMBER(F99),ISNUMBER(I99)),F99*I99,"")</f>
        <v>1750000</v>
      </c>
      <c r="K99" s="19" t="s">
        <v>492</v>
      </c>
      <c r="L99" s="20" t="s">
        <v>535</v>
      </c>
    </row>
    <row r="100" customFormat="false" ht="15" hidden="false" customHeight="true" outlineLevel="0" collapsed="false">
      <c r="A100" s="19" t="n">
        <v>96</v>
      </c>
      <c r="B100" s="19" t="s">
        <v>9</v>
      </c>
      <c r="C100" s="20" t="s">
        <v>538</v>
      </c>
      <c r="D100" s="20" t="s">
        <v>539</v>
      </c>
      <c r="E100" s="19" t="s">
        <v>54</v>
      </c>
      <c r="F100" s="25" t="n">
        <v>20</v>
      </c>
      <c r="G100" s="19" t="s">
        <v>114</v>
      </c>
      <c r="H100" s="32"/>
      <c r="I100" s="23" t="n">
        <f aca="false">IF(ISNUMBER(H100),H100,IF(G100&lt;&gt;"",IFERROR(INDEX(Прайс!$G$5:$G$150,MATCH(G100,Прайс!$A$5:$A$150,0)),""),""))</f>
        <v>40000</v>
      </c>
      <c r="J100" s="24" t="n">
        <f aca="false">IF(AND(ISNUMBER(F100),ISNUMBER(I100)),F100*I100,"")</f>
        <v>800000</v>
      </c>
      <c r="K100" s="19" t="s">
        <v>492</v>
      </c>
      <c r="L100" s="20" t="s">
        <v>535</v>
      </c>
    </row>
    <row r="101" customFormat="false" ht="15" hidden="false" customHeight="true" outlineLevel="0" collapsed="false">
      <c r="A101" s="19" t="n">
        <v>97</v>
      </c>
      <c r="B101" s="19" t="s">
        <v>12</v>
      </c>
      <c r="C101" s="20" t="s">
        <v>540</v>
      </c>
      <c r="D101" s="20" t="s">
        <v>541</v>
      </c>
      <c r="E101" s="19" t="s">
        <v>168</v>
      </c>
      <c r="F101" s="21" t="n">
        <v>84</v>
      </c>
      <c r="G101" s="19" t="s">
        <v>166</v>
      </c>
      <c r="H101" s="32"/>
      <c r="I101" s="23" t="n">
        <f aca="false">IF(ISNUMBER(H101),H101,IF(G101&lt;&gt;"",IFERROR(INDEX(Прайс!$G$5:$G$150,MATCH(G101,Прайс!$A$5:$A$150,0)),""),""))</f>
        <v>419070</v>
      </c>
      <c r="J101" s="24" t="n">
        <f aca="false">IF(AND(ISNUMBER(F101),ISNUMBER(I101)),F101*I101,"")</f>
        <v>35201880</v>
      </c>
      <c r="K101" s="19" t="s">
        <v>542</v>
      </c>
      <c r="L101" s="20" t="s">
        <v>543</v>
      </c>
    </row>
    <row r="102" customFormat="false" ht="15" hidden="false" customHeight="true" outlineLevel="0" collapsed="false">
      <c r="A102" s="19" t="n">
        <v>98</v>
      </c>
      <c r="B102" s="19" t="s">
        <v>12</v>
      </c>
      <c r="C102" s="20" t="s">
        <v>544</v>
      </c>
      <c r="D102" s="20" t="s">
        <v>545</v>
      </c>
      <c r="E102" s="19" t="s">
        <v>54</v>
      </c>
      <c r="F102" s="25" t="n">
        <v>6</v>
      </c>
      <c r="G102" s="19" t="s">
        <v>163</v>
      </c>
      <c r="H102" s="32"/>
      <c r="I102" s="23" t="n">
        <f aca="false">IF(ISNUMBER(H102),H102,IF(G102&lt;&gt;"",IFERROR(INDEX(Прайс!$G$5:$G$150,MATCH(G102,Прайс!$A$5:$A$150,0)),""),""))</f>
        <v>350000</v>
      </c>
      <c r="J102" s="24" t="n">
        <f aca="false">IF(AND(ISNUMBER(F102),ISNUMBER(I102)),F102*I102,"")</f>
        <v>2100000</v>
      </c>
      <c r="K102" s="19" t="s">
        <v>546</v>
      </c>
      <c r="L102" s="20"/>
    </row>
    <row r="103" customFormat="false" ht="23.25" hidden="false" customHeight="true" outlineLevel="0" collapsed="false">
      <c r="A103" s="34" t="n">
        <v>99</v>
      </c>
      <c r="B103" s="34" t="s">
        <v>23</v>
      </c>
      <c r="C103" s="35" t="s">
        <v>547</v>
      </c>
      <c r="D103" s="35" t="s">
        <v>548</v>
      </c>
      <c r="E103" s="34" t="s">
        <v>54</v>
      </c>
      <c r="F103" s="36" t="n">
        <v>3</v>
      </c>
      <c r="G103" s="34" t="s">
        <v>256</v>
      </c>
      <c r="H103" s="37"/>
      <c r="I103" s="38" t="n">
        <f aca="false">IF(ISNUMBER(H103),H103,IF(G103&lt;&gt;"",IFERROR(INDEX(Прайс!$G$5:$G$150,MATCH(G103,Прайс!$A$5:$A$150,0)),""),""))</f>
        <v>800000</v>
      </c>
      <c r="J103" s="39" t="n">
        <f aca="false">IF(AND(ISNUMBER(F103),ISNUMBER(I103)),F103*I103,"")</f>
        <v>2400000</v>
      </c>
      <c r="K103" s="34" t="s">
        <v>296</v>
      </c>
      <c r="L103" s="35" t="s">
        <v>549</v>
      </c>
    </row>
    <row r="104" customFormat="false" ht="23.25" hidden="false" customHeight="true" outlineLevel="0" collapsed="false">
      <c r="A104" s="19" t="n">
        <v>100</v>
      </c>
      <c r="B104" s="19" t="s">
        <v>14</v>
      </c>
      <c r="C104" s="20" t="s">
        <v>550</v>
      </c>
      <c r="D104" s="20" t="s">
        <v>551</v>
      </c>
      <c r="E104" s="19" t="s">
        <v>168</v>
      </c>
      <c r="F104" s="33" t="n">
        <v>7.1</v>
      </c>
      <c r="G104" s="19" t="s">
        <v>250</v>
      </c>
      <c r="H104" s="32"/>
      <c r="I104" s="23" t="n">
        <f aca="false">IF(ISNUMBER(H104),H104,IF(G104&lt;&gt;"",IFERROR(INDEX(Прайс!$G$5:$G$150,MATCH(G104,Прайс!$A$5:$A$150,0)),""),""))</f>
        <v>600000</v>
      </c>
      <c r="J104" s="24" t="n">
        <f aca="false">IF(AND(ISNUMBER(F104),ISNUMBER(I104)),F104*I104,"")</f>
        <v>4260000</v>
      </c>
      <c r="K104" s="19" t="s">
        <v>552</v>
      </c>
      <c r="L104" s="20" t="s">
        <v>553</v>
      </c>
    </row>
    <row r="105" customFormat="false" ht="23.25" hidden="false" customHeight="true" outlineLevel="0" collapsed="false">
      <c r="A105" s="19" t="n">
        <v>101</v>
      </c>
      <c r="B105" s="19" t="s">
        <v>16</v>
      </c>
      <c r="C105" s="20" t="s">
        <v>554</v>
      </c>
      <c r="D105" s="20" t="s">
        <v>555</v>
      </c>
      <c r="E105" s="19" t="s">
        <v>168</v>
      </c>
      <c r="F105" s="33" t="n">
        <v>5.9</v>
      </c>
      <c r="G105" s="19" t="s">
        <v>266</v>
      </c>
      <c r="H105" s="32"/>
      <c r="I105" s="23" t="n">
        <f aca="false">IF(ISNUMBER(H105),H105,IF(G105&lt;&gt;"",IFERROR(INDEX(Прайс!$G$5:$G$150,MATCH(G105,Прайс!$A$5:$A$150,0)),""),""))</f>
        <v>1000000</v>
      </c>
      <c r="J105" s="24" t="n">
        <f aca="false">IF(AND(ISNUMBER(F105),ISNUMBER(I105)),F105*I105,"")</f>
        <v>5900000</v>
      </c>
      <c r="K105" s="19" t="s">
        <v>552</v>
      </c>
      <c r="L105" s="20" t="s">
        <v>556</v>
      </c>
    </row>
    <row r="106" customFormat="false" ht="15" hidden="false" customHeight="true" outlineLevel="0" collapsed="false">
      <c r="A106" s="19" t="n">
        <v>102</v>
      </c>
      <c r="B106" s="19" t="s">
        <v>24</v>
      </c>
      <c r="C106" s="20" t="s">
        <v>557</v>
      </c>
      <c r="D106" s="20" t="s">
        <v>558</v>
      </c>
      <c r="E106" s="19" t="s">
        <v>54</v>
      </c>
      <c r="F106" s="33" t="n">
        <v>3</v>
      </c>
      <c r="G106" s="19" t="s">
        <v>269</v>
      </c>
      <c r="H106" s="32"/>
      <c r="I106" s="23" t="n">
        <f aca="false">IF(ISNUMBER(H106),H106,IF(G106&lt;&gt;"",IFERROR(INDEX(Прайс!$G$5:$G$150,MATCH(G106,Прайс!$A$5:$A$150,0)),""),""))</f>
        <v>4500000</v>
      </c>
      <c r="J106" s="24" t="n">
        <f aca="false">IF(AND(ISNUMBER(F106),ISNUMBER(I106)),F106*I106,"")</f>
        <v>13500000</v>
      </c>
      <c r="K106" s="19" t="s">
        <v>332</v>
      </c>
      <c r="L106" s="20" t="s">
        <v>559</v>
      </c>
    </row>
    <row r="107" customFormat="false" ht="15" hidden="false" customHeight="true" outlineLevel="0" collapsed="false">
      <c r="A107" s="19" t="n">
        <v>103</v>
      </c>
      <c r="B107" s="19" t="s">
        <v>17</v>
      </c>
      <c r="C107" s="20" t="s">
        <v>560</v>
      </c>
      <c r="D107" s="20" t="s">
        <v>561</v>
      </c>
      <c r="E107" s="19" t="s">
        <v>54</v>
      </c>
      <c r="F107" s="40" t="n">
        <v>2</v>
      </c>
      <c r="G107" s="19" t="s">
        <v>272</v>
      </c>
      <c r="H107" s="32"/>
      <c r="I107" s="23" t="n">
        <f aca="false">IF(ISNUMBER(H107),H107,IF(G107&lt;&gt;"",IFERROR(INDEX(Прайс!$G$5:$G$150,MATCH(G107,Прайс!$A$5:$A$150,0)),""),""))</f>
        <v>3500000</v>
      </c>
      <c r="J107" s="24" t="n">
        <f aca="false">IF(AND(ISNUMBER(F107),ISNUMBER(I107)),F107*I107,"")</f>
        <v>7000000</v>
      </c>
      <c r="K107" s="19" t="s">
        <v>328</v>
      </c>
      <c r="L107" s="20" t="s">
        <v>562</v>
      </c>
    </row>
    <row r="108" customFormat="false" ht="15" hidden="false" customHeight="true" outlineLevel="0" collapsed="false">
      <c r="A108" s="19" t="n">
        <v>104</v>
      </c>
      <c r="B108" s="19" t="s">
        <v>17</v>
      </c>
      <c r="C108" s="20" t="s">
        <v>563</v>
      </c>
      <c r="D108" s="20" t="s">
        <v>564</v>
      </c>
      <c r="E108" s="19" t="s">
        <v>54</v>
      </c>
      <c r="F108" s="40" t="n">
        <v>5</v>
      </c>
      <c r="G108" s="19" t="s">
        <v>274</v>
      </c>
      <c r="H108" s="32"/>
      <c r="I108" s="23" t="n">
        <f aca="false">IF(ISNUMBER(H108),H108,IF(G108&lt;&gt;"",IFERROR(INDEX(Прайс!$G$5:$G$150,MATCH(G108,Прайс!$A$5:$A$150,0)),""),""))</f>
        <v>1500000</v>
      </c>
      <c r="J108" s="24" t="n">
        <f aca="false">IF(AND(ISNUMBER(F108),ISNUMBER(I108)),F108*I108,"")</f>
        <v>7500000</v>
      </c>
      <c r="K108" s="19" t="s">
        <v>328</v>
      </c>
      <c r="L108" s="20" t="s">
        <v>565</v>
      </c>
    </row>
    <row r="109" customFormat="false" ht="15" hidden="false" customHeight="true" outlineLevel="0" collapsed="false">
      <c r="A109" s="19" t="n">
        <v>105</v>
      </c>
      <c r="B109" s="19" t="s">
        <v>17</v>
      </c>
      <c r="C109" s="20" t="s">
        <v>566</v>
      </c>
      <c r="D109" s="20" t="s">
        <v>567</v>
      </c>
      <c r="E109" s="19" t="s">
        <v>102</v>
      </c>
      <c r="F109" s="40" t="n">
        <v>2.4</v>
      </c>
      <c r="G109" s="19" t="s">
        <v>203</v>
      </c>
      <c r="H109" s="32"/>
      <c r="I109" s="23" t="n">
        <f aca="false">IF(ISNUMBER(H109),H109,IF(G109&lt;&gt;"",IFERROR(INDEX(Прайс!$G$5:$G$150,MATCH(G109,Прайс!$A$5:$A$150,0)),""),""))</f>
        <v>4500000</v>
      </c>
      <c r="J109" s="24" t="n">
        <f aca="false">IF(AND(ISNUMBER(F109),ISNUMBER(I109)),F109*I109,"")</f>
        <v>10800000</v>
      </c>
      <c r="K109" s="19" t="s">
        <v>328</v>
      </c>
      <c r="L109" s="20" t="s">
        <v>568</v>
      </c>
    </row>
    <row r="110" customFormat="false" ht="15" hidden="false" customHeight="true" outlineLevel="0" collapsed="false">
      <c r="A110" s="19" t="n">
        <v>106</v>
      </c>
      <c r="B110" s="19" t="s">
        <v>17</v>
      </c>
      <c r="C110" s="20" t="s">
        <v>569</v>
      </c>
      <c r="D110" s="20"/>
      <c r="E110" s="19" t="s">
        <v>54</v>
      </c>
      <c r="F110" s="40" t="n">
        <v>1</v>
      </c>
      <c r="G110" s="19" t="s">
        <v>276</v>
      </c>
      <c r="H110" s="32"/>
      <c r="I110" s="23" t="n">
        <f aca="false">IF(ISNUMBER(H110),H110,IF(G110&lt;&gt;"",IFERROR(INDEX(Прайс!$G$5:$G$150,MATCH(G110,Прайс!$A$5:$A$150,0)),""),""))</f>
        <v>2500000</v>
      </c>
      <c r="J110" s="24" t="n">
        <f aca="false">IF(AND(ISNUMBER(F110),ISNUMBER(I110)),F110*I110,"")</f>
        <v>2500000</v>
      </c>
      <c r="K110" s="19" t="s">
        <v>328</v>
      </c>
      <c r="L110" s="20" t="s">
        <v>570</v>
      </c>
    </row>
    <row r="111" customFormat="false" ht="15" hidden="false" customHeight="true" outlineLevel="0" collapsed="false">
      <c r="A111" s="19" t="n">
        <v>107</v>
      </c>
      <c r="B111" s="19" t="s">
        <v>14</v>
      </c>
      <c r="C111" s="20" t="s">
        <v>571</v>
      </c>
      <c r="D111" s="20" t="s">
        <v>572</v>
      </c>
      <c r="E111" s="19" t="s">
        <v>54</v>
      </c>
      <c r="F111" s="40" t="n">
        <v>1</v>
      </c>
      <c r="G111" s="19" t="s">
        <v>278</v>
      </c>
      <c r="H111" s="32"/>
      <c r="I111" s="23" t="n">
        <f aca="false">IF(ISNUMBER(H111),H111,IF(G111&lt;&gt;"",IFERROR(INDEX(Прайс!$G$5:$G$150,MATCH(G111,Прайс!$A$5:$A$150,0)),""),""))</f>
        <v>4000000</v>
      </c>
      <c r="J111" s="24" t="n">
        <f aca="false">IF(AND(ISNUMBER(F111),ISNUMBER(I111)),F111*I111,"")</f>
        <v>4000000</v>
      </c>
      <c r="K111" s="19" t="s">
        <v>328</v>
      </c>
      <c r="L111" s="20" t="s">
        <v>573</v>
      </c>
    </row>
    <row r="112" customFormat="false" ht="15" hidden="false" customHeight="true" outlineLevel="0" collapsed="false">
      <c r="A112" s="19" t="n">
        <v>108</v>
      </c>
      <c r="B112" s="19" t="s">
        <v>14</v>
      </c>
      <c r="C112" s="20" t="s">
        <v>574</v>
      </c>
      <c r="D112" s="20"/>
      <c r="E112" s="19" t="s">
        <v>54</v>
      </c>
      <c r="F112" s="40" t="n">
        <v>1</v>
      </c>
      <c r="G112" s="19" t="s">
        <v>281</v>
      </c>
      <c r="H112" s="32"/>
      <c r="I112" s="23" t="n">
        <f aca="false">IF(ISNUMBER(H112),H112,IF(G112&lt;&gt;"",IFERROR(INDEX(Прайс!$G$5:$G$150,MATCH(G112,Прайс!$A$5:$A$150,0)),""),""))</f>
        <v>2500000</v>
      </c>
      <c r="J112" s="24" t="n">
        <f aca="false">IF(AND(ISNUMBER(F112),ISNUMBER(I112)),F112*I112,"")</f>
        <v>2500000</v>
      </c>
      <c r="K112" s="19" t="s">
        <v>328</v>
      </c>
      <c r="L112" s="20" t="s">
        <v>575</v>
      </c>
    </row>
    <row r="113" customFormat="false" ht="15" hidden="false" customHeight="false" outlineLevel="0" collapsed="false">
      <c r="I113" s="41" t="s">
        <v>7</v>
      </c>
      <c r="J113" s="42" t="n">
        <f aca="false">SUM(J5:J112)</f>
        <v>547154830</v>
      </c>
    </row>
    <row r="114" customFormat="false" ht="15" hidden="false" customHeight="false" outlineLevel="0" collapsed="false">
      <c r="I114" s="43" t="s">
        <v>576</v>
      </c>
      <c r="J114" s="6" t="n">
        <f aca="false">COUNTBLANK(I5:I112)</f>
        <v>1</v>
      </c>
    </row>
    <row r="115" customFormat="false" ht="15" hidden="false" customHeight="false" outlineLevel="0" collapsed="false">
      <c r="I115" s="43" t="s">
        <v>577</v>
      </c>
      <c r="J115" s="6" t="n">
        <f aca="false">COUNTIF(F5:F112,"~?")</f>
        <v>0</v>
      </c>
    </row>
  </sheetData>
  <autoFilter ref="A4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8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60"/>
    <col collapsed="false" customWidth="true" hidden="false" outlineLevel="0" max="8" min="8" style="1" width="22"/>
  </cols>
  <sheetData>
    <row r="1" customFormat="false" ht="15" hidden="false" customHeight="true" outlineLevel="0" collapsed="false">
      <c r="A1" s="44" t="s">
        <v>578</v>
      </c>
    </row>
    <row r="2" customFormat="false" ht="15" hidden="false" customHeight="true" outlineLevel="0" collapsed="false">
      <c r="A2" s="45" t="s">
        <v>579</v>
      </c>
    </row>
    <row r="4" customFormat="false" ht="26.25" hidden="false" customHeight="true" outlineLevel="0" collapsed="false">
      <c r="A4" s="46" t="s">
        <v>285</v>
      </c>
      <c r="B4" s="46" t="s">
        <v>580</v>
      </c>
      <c r="C4" s="46" t="s">
        <v>2</v>
      </c>
      <c r="D4" s="46" t="s">
        <v>581</v>
      </c>
      <c r="E4" s="46" t="s">
        <v>582</v>
      </c>
      <c r="F4" s="46" t="s">
        <v>583</v>
      </c>
      <c r="G4" s="46" t="s">
        <v>584</v>
      </c>
      <c r="H4" s="46" t="s">
        <v>585</v>
      </c>
    </row>
    <row r="5" customFormat="false" ht="39" hidden="false" customHeight="true" outlineLevel="0" collapsed="false">
      <c r="A5" s="47" t="n">
        <v>1</v>
      </c>
      <c r="B5" s="48" t="s">
        <v>586</v>
      </c>
      <c r="C5" s="48" t="s">
        <v>20</v>
      </c>
      <c r="D5" s="48" t="s">
        <v>587</v>
      </c>
      <c r="E5" s="48" t="s">
        <v>588</v>
      </c>
      <c r="F5" s="48" t="s">
        <v>589</v>
      </c>
      <c r="G5" s="48" t="s">
        <v>590</v>
      </c>
      <c r="H5" s="48" t="s">
        <v>591</v>
      </c>
    </row>
    <row r="6" customFormat="false" ht="39" hidden="false" customHeight="true" outlineLevel="0" collapsed="false">
      <c r="A6" s="47" t="n">
        <v>2</v>
      </c>
      <c r="B6" s="48" t="s">
        <v>592</v>
      </c>
      <c r="C6" s="48" t="s">
        <v>20</v>
      </c>
      <c r="D6" s="48" t="s">
        <v>593</v>
      </c>
      <c r="E6" s="48" t="s">
        <v>594</v>
      </c>
      <c r="F6" s="48" t="s">
        <v>595</v>
      </c>
      <c r="G6" s="48" t="s">
        <v>596</v>
      </c>
      <c r="H6" s="48" t="s">
        <v>597</v>
      </c>
    </row>
    <row r="7" customFormat="false" ht="26.25" hidden="false" customHeight="true" outlineLevel="0" collapsed="false">
      <c r="A7" s="47" t="n">
        <v>3</v>
      </c>
      <c r="B7" s="48" t="s">
        <v>598</v>
      </c>
      <c r="C7" s="48" t="s">
        <v>8</v>
      </c>
      <c r="D7" s="48" t="s">
        <v>599</v>
      </c>
      <c r="E7" s="48" t="s">
        <v>600</v>
      </c>
      <c r="F7" s="48" t="s">
        <v>601</v>
      </c>
      <c r="G7" s="48" t="s">
        <v>602</v>
      </c>
      <c r="H7" s="48" t="s">
        <v>603</v>
      </c>
    </row>
    <row r="8" customFormat="false" ht="39" hidden="false" customHeight="true" outlineLevel="0" collapsed="false">
      <c r="A8" s="47" t="n">
        <v>4</v>
      </c>
      <c r="B8" s="48" t="s">
        <v>604</v>
      </c>
      <c r="C8" s="48" t="s">
        <v>9</v>
      </c>
      <c r="D8" s="48" t="s">
        <v>605</v>
      </c>
      <c r="E8" s="48" t="s">
        <v>600</v>
      </c>
      <c r="F8" s="48" t="s">
        <v>606</v>
      </c>
      <c r="G8" s="48" t="s">
        <v>607</v>
      </c>
      <c r="H8" s="48" t="s">
        <v>597</v>
      </c>
    </row>
    <row r="9" customFormat="false" ht="26.25" hidden="false" customHeight="true" outlineLevel="0" collapsed="false">
      <c r="A9" s="47" t="n">
        <v>5</v>
      </c>
      <c r="B9" s="48" t="s">
        <v>608</v>
      </c>
      <c r="C9" s="48" t="s">
        <v>609</v>
      </c>
      <c r="D9" s="48" t="s">
        <v>610</v>
      </c>
      <c r="E9" s="48" t="s">
        <v>600</v>
      </c>
      <c r="F9" s="48" t="s">
        <v>606</v>
      </c>
      <c r="G9" s="48" t="s">
        <v>611</v>
      </c>
      <c r="H9" s="48" t="s">
        <v>597</v>
      </c>
    </row>
    <row r="10" customFormat="false" ht="51.75" hidden="false" customHeight="true" outlineLevel="0" collapsed="false">
      <c r="A10" s="47" t="n">
        <v>6</v>
      </c>
      <c r="B10" s="48" t="s">
        <v>612</v>
      </c>
      <c r="C10" s="48" t="s">
        <v>11</v>
      </c>
      <c r="D10" s="48" t="s">
        <v>613</v>
      </c>
      <c r="E10" s="48" t="s">
        <v>614</v>
      </c>
      <c r="F10" s="48" t="s">
        <v>615</v>
      </c>
      <c r="G10" s="48" t="s">
        <v>616</v>
      </c>
      <c r="H10" s="48" t="s">
        <v>617</v>
      </c>
    </row>
    <row r="11" customFormat="false" ht="26.25" hidden="false" customHeight="true" outlineLevel="0" collapsed="false">
      <c r="A11" s="47" t="n">
        <v>7</v>
      </c>
      <c r="B11" s="48" t="s">
        <v>618</v>
      </c>
      <c r="C11" s="48" t="s">
        <v>13</v>
      </c>
      <c r="D11" s="48" t="s">
        <v>619</v>
      </c>
      <c r="E11" s="48" t="s">
        <v>620</v>
      </c>
      <c r="F11" s="48" t="s">
        <v>589</v>
      </c>
      <c r="G11" s="48" t="s">
        <v>621</v>
      </c>
      <c r="H11" s="48" t="s">
        <v>622</v>
      </c>
    </row>
    <row r="12" customFormat="false" ht="26.25" hidden="false" customHeight="true" outlineLevel="0" collapsed="false">
      <c r="A12" s="47" t="n">
        <v>8</v>
      </c>
      <c r="B12" s="48" t="s">
        <v>623</v>
      </c>
      <c r="C12" s="48" t="s">
        <v>624</v>
      </c>
      <c r="D12" s="48" t="s">
        <v>625</v>
      </c>
      <c r="E12" s="48" t="s">
        <v>600</v>
      </c>
      <c r="F12" s="48" t="s">
        <v>606</v>
      </c>
      <c r="G12" s="48" t="s">
        <v>626</v>
      </c>
      <c r="H12" s="48" t="s">
        <v>597</v>
      </c>
    </row>
    <row r="13" customFormat="false" ht="15" hidden="false" customHeight="true" outlineLevel="0" collapsed="false">
      <c r="A13" s="47" t="n">
        <v>9</v>
      </c>
      <c r="B13" s="48" t="s">
        <v>627</v>
      </c>
      <c r="C13" s="48" t="s">
        <v>628</v>
      </c>
      <c r="D13" s="48" t="s">
        <v>629</v>
      </c>
      <c r="E13" s="48" t="s">
        <v>600</v>
      </c>
      <c r="F13" s="48" t="s">
        <v>606</v>
      </c>
      <c r="G13" s="48" t="s">
        <v>597</v>
      </c>
      <c r="H13" s="48" t="s">
        <v>597</v>
      </c>
    </row>
    <row r="14" customFormat="false" ht="39" hidden="false" customHeight="true" outlineLevel="0" collapsed="false">
      <c r="A14" s="47" t="n">
        <v>10</v>
      </c>
      <c r="B14" s="48" t="s">
        <v>630</v>
      </c>
      <c r="C14" s="48" t="s">
        <v>21</v>
      </c>
      <c r="D14" s="48" t="s">
        <v>631</v>
      </c>
      <c r="E14" s="48" t="s">
        <v>632</v>
      </c>
      <c r="F14" s="48" t="s">
        <v>615</v>
      </c>
      <c r="G14" s="48" t="s">
        <v>633</v>
      </c>
      <c r="H14" s="48" t="s">
        <v>634</v>
      </c>
    </row>
    <row r="15" customFormat="false" ht="26.25" hidden="false" customHeight="true" outlineLevel="0" collapsed="false">
      <c r="A15" s="47" t="n">
        <v>11</v>
      </c>
      <c r="B15" s="48" t="s">
        <v>635</v>
      </c>
      <c r="C15" s="48" t="s">
        <v>636</v>
      </c>
      <c r="D15" s="48" t="s">
        <v>637</v>
      </c>
      <c r="E15" s="48" t="s">
        <v>638</v>
      </c>
      <c r="F15" s="48" t="s">
        <v>639</v>
      </c>
      <c r="G15" s="48" t="s">
        <v>640</v>
      </c>
      <c r="H15" s="48" t="s">
        <v>641</v>
      </c>
    </row>
    <row r="16" customFormat="false" ht="26.25" hidden="false" customHeight="true" outlineLevel="0" collapsed="false">
      <c r="A16" s="47" t="n">
        <v>12</v>
      </c>
      <c r="B16" s="48" t="s">
        <v>642</v>
      </c>
      <c r="C16" s="48" t="s">
        <v>22</v>
      </c>
      <c r="D16" s="48" t="s">
        <v>643</v>
      </c>
      <c r="E16" s="48" t="s">
        <v>644</v>
      </c>
      <c r="F16" s="48" t="s">
        <v>639</v>
      </c>
      <c r="G16" s="48" t="s">
        <v>645</v>
      </c>
      <c r="H16" s="48" t="s">
        <v>646</v>
      </c>
    </row>
    <row r="17" customFormat="false" ht="26.25" hidden="false" customHeight="true" outlineLevel="0" collapsed="false">
      <c r="A17" s="47" t="n">
        <v>13</v>
      </c>
      <c r="B17" s="48" t="s">
        <v>647</v>
      </c>
      <c r="C17" s="48" t="s">
        <v>636</v>
      </c>
      <c r="D17" s="48" t="s">
        <v>648</v>
      </c>
      <c r="E17" s="48" t="s">
        <v>649</v>
      </c>
      <c r="F17" s="48" t="s">
        <v>606</v>
      </c>
      <c r="G17" s="48" t="s">
        <v>650</v>
      </c>
      <c r="H17" s="48" t="s">
        <v>651</v>
      </c>
    </row>
    <row r="18" customFormat="false" ht="39" hidden="false" customHeight="true" outlineLevel="0" collapsed="false">
      <c r="A18" s="47" t="n">
        <v>14</v>
      </c>
      <c r="B18" s="48" t="s">
        <v>652</v>
      </c>
      <c r="C18" s="48" t="s">
        <v>653</v>
      </c>
      <c r="D18" s="48" t="s">
        <v>654</v>
      </c>
      <c r="E18" s="48" t="s">
        <v>655</v>
      </c>
      <c r="F18" s="48" t="s">
        <v>639</v>
      </c>
      <c r="G18" s="48" t="s">
        <v>656</v>
      </c>
      <c r="H18" s="48" t="s">
        <v>657</v>
      </c>
    </row>
    <row r="19" customFormat="false" ht="26.25" hidden="false" customHeight="true" outlineLevel="0" collapsed="false">
      <c r="A19" s="47" t="n">
        <v>15</v>
      </c>
      <c r="B19" s="48" t="s">
        <v>658</v>
      </c>
      <c r="C19" s="48" t="s">
        <v>659</v>
      </c>
      <c r="D19" s="48" t="s">
        <v>660</v>
      </c>
      <c r="E19" s="48" t="s">
        <v>661</v>
      </c>
      <c r="F19" s="48" t="s">
        <v>615</v>
      </c>
      <c r="G19" s="48" t="s">
        <v>662</v>
      </c>
      <c r="H19" s="48" t="s">
        <v>663</v>
      </c>
    </row>
    <row r="20" customFormat="false" ht="26.25" hidden="false" customHeight="true" outlineLevel="0" collapsed="false">
      <c r="A20" s="47" t="n">
        <v>16</v>
      </c>
      <c r="B20" s="48" t="s">
        <v>664</v>
      </c>
      <c r="C20" s="48" t="s">
        <v>16</v>
      </c>
      <c r="D20" s="48" t="s">
        <v>665</v>
      </c>
      <c r="E20" s="48" t="s">
        <v>661</v>
      </c>
      <c r="F20" s="48" t="s">
        <v>615</v>
      </c>
      <c r="G20" s="48" t="s">
        <v>666</v>
      </c>
      <c r="H20" s="48" t="s">
        <v>622</v>
      </c>
    </row>
    <row r="21" customFormat="false" ht="39" hidden="false" customHeight="true" outlineLevel="0" collapsed="false">
      <c r="A21" s="47" t="n">
        <v>17</v>
      </c>
      <c r="B21" s="48" t="s">
        <v>667</v>
      </c>
      <c r="C21" s="48" t="s">
        <v>24</v>
      </c>
      <c r="D21" s="48" t="s">
        <v>668</v>
      </c>
      <c r="E21" s="48" t="s">
        <v>669</v>
      </c>
      <c r="F21" s="48" t="s">
        <v>615</v>
      </c>
      <c r="G21" s="48" t="s">
        <v>670</v>
      </c>
      <c r="H21" s="48" t="s">
        <v>671</v>
      </c>
    </row>
    <row r="22" customFormat="false" ht="26.25" hidden="false" customHeight="true" outlineLevel="0" collapsed="false">
      <c r="A22" s="47" t="n">
        <v>18</v>
      </c>
      <c r="B22" s="48" t="s">
        <v>597</v>
      </c>
      <c r="C22" s="48" t="s">
        <v>672</v>
      </c>
      <c r="D22" s="48" t="s">
        <v>673</v>
      </c>
      <c r="E22" s="48" t="s">
        <v>674</v>
      </c>
      <c r="F22" s="48" t="s">
        <v>595</v>
      </c>
      <c r="G22" s="48" t="s">
        <v>675</v>
      </c>
      <c r="H22" s="48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2" t="s">
        <v>676</v>
      </c>
    </row>
    <row r="2" customFormat="false" ht="15" hidden="false" customHeight="true" outlineLevel="0" collapsed="false">
      <c r="A2" s="3" t="s">
        <v>677</v>
      </c>
    </row>
    <row r="4" customFormat="false" ht="30" hidden="false" customHeight="true" outlineLevel="0" collapsed="false">
      <c r="A4" s="4" t="s">
        <v>285</v>
      </c>
      <c r="B4" s="4" t="s">
        <v>2</v>
      </c>
      <c r="C4" s="4" t="s">
        <v>46</v>
      </c>
      <c r="D4" s="4" t="s">
        <v>286</v>
      </c>
      <c r="E4" s="4" t="s">
        <v>47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291</v>
      </c>
      <c r="K4" s="4" t="s">
        <v>292</v>
      </c>
      <c r="L4" s="4" t="s">
        <v>293</v>
      </c>
    </row>
    <row r="5" customFormat="false" ht="15" hidden="false" customHeight="true" outlineLevel="0" collapsed="false">
      <c r="A5" s="19" t="n">
        <v>1</v>
      </c>
      <c r="B5" s="19" t="s">
        <v>9</v>
      </c>
      <c r="C5" s="20" t="s">
        <v>678</v>
      </c>
      <c r="D5" s="20"/>
      <c r="E5" s="19" t="s">
        <v>54</v>
      </c>
      <c r="F5" s="21" t="n">
        <v>23</v>
      </c>
      <c r="G5" s="19" t="s">
        <v>96</v>
      </c>
      <c r="H5" s="32"/>
      <c r="I5" s="23" t="n">
        <f aca="false">IF(ISNUMBER(H5),H5,IF(G5&lt;&gt;"",IFERROR(INDEX(Прайс!$G$5:$G$150,MATCH(G5,Прайс!$A$5:$A$150,0)),""),""))</f>
        <v>250000</v>
      </c>
      <c r="J5" s="24" t="n">
        <f aca="false">IF(AND(ISNUMBER(F5),ISNUMBER(I5)),F5*I5,"")</f>
        <v>5750000</v>
      </c>
      <c r="K5" s="19" t="s">
        <v>296</v>
      </c>
      <c r="L5" s="20"/>
    </row>
    <row r="6" customFormat="false" ht="15" hidden="false" customHeight="true" outlineLevel="0" collapsed="false">
      <c r="A6" s="19" t="n">
        <v>2</v>
      </c>
      <c r="B6" s="19" t="s">
        <v>9</v>
      </c>
      <c r="C6" s="20" t="s">
        <v>679</v>
      </c>
      <c r="D6" s="20"/>
      <c r="E6" s="19" t="s">
        <v>54</v>
      </c>
      <c r="F6" s="21" t="n">
        <v>12</v>
      </c>
      <c r="G6" s="19" t="s">
        <v>98</v>
      </c>
      <c r="H6" s="32"/>
      <c r="I6" s="23" t="n">
        <f aca="false">IF(ISNUMBER(H6),H6,IF(G6&lt;&gt;"",IFERROR(INDEX(Прайс!$G$5:$G$150,MATCH(G6,Прайс!$A$5:$A$150,0)),""),""))</f>
        <v>170000</v>
      </c>
      <c r="J6" s="24" t="n">
        <f aca="false">IF(AND(ISNUMBER(F6),ISNUMBER(I6)),F6*I6,"")</f>
        <v>2040000</v>
      </c>
      <c r="K6" s="19" t="s">
        <v>296</v>
      </c>
      <c r="L6" s="20" t="s">
        <v>680</v>
      </c>
    </row>
    <row r="7" customFormat="false" ht="23.25" hidden="false" customHeight="true" outlineLevel="0" collapsed="false">
      <c r="A7" s="19" t="n">
        <v>3</v>
      </c>
      <c r="B7" s="19" t="s">
        <v>9</v>
      </c>
      <c r="C7" s="20" t="s">
        <v>681</v>
      </c>
      <c r="D7" s="20" t="s">
        <v>682</v>
      </c>
      <c r="E7" s="19" t="s">
        <v>54</v>
      </c>
      <c r="F7" s="21" t="n">
        <v>128</v>
      </c>
      <c r="G7" s="19" t="s">
        <v>90</v>
      </c>
      <c r="H7" s="32"/>
      <c r="I7" s="23" t="n">
        <f aca="false">IF(ISNUMBER(H7),H7,IF(G7&lt;&gt;"",IFERROR(INDEX(Прайс!$G$5:$G$150,MATCH(G7,Прайс!$A$5:$A$150,0)),""),""))</f>
        <v>100000</v>
      </c>
      <c r="J7" s="24" t="n">
        <f aca="false">IF(AND(ISNUMBER(F7),ISNUMBER(I7)),F7*I7,"")</f>
        <v>12800000</v>
      </c>
      <c r="K7" s="19" t="s">
        <v>296</v>
      </c>
      <c r="L7" s="20" t="s">
        <v>683</v>
      </c>
    </row>
    <row r="8" customFormat="false" ht="15" hidden="false" customHeight="true" outlineLevel="0" collapsed="false">
      <c r="A8" s="19" t="n">
        <v>4</v>
      </c>
      <c r="B8" s="19" t="s">
        <v>9</v>
      </c>
      <c r="C8" s="20" t="s">
        <v>684</v>
      </c>
      <c r="D8" s="20"/>
      <c r="E8" s="19" t="s">
        <v>54</v>
      </c>
      <c r="F8" s="21" t="n">
        <v>9</v>
      </c>
      <c r="G8" s="19" t="s">
        <v>116</v>
      </c>
      <c r="H8" s="32"/>
      <c r="I8" s="23" t="n">
        <f aca="false">IF(ISNUMBER(H8),H8,IF(G8&lt;&gt;"",IFERROR(INDEX(Прайс!$G$5:$G$150,MATCH(G8,Прайс!$A$5:$A$150,0)),""),""))</f>
        <v>150000</v>
      </c>
      <c r="J8" s="24" t="n">
        <f aca="false">IF(AND(ISNUMBER(F8),ISNUMBER(I8)),F8*I8,"")</f>
        <v>1350000</v>
      </c>
      <c r="K8" s="19" t="s">
        <v>296</v>
      </c>
      <c r="L8" s="20"/>
    </row>
    <row r="9" customFormat="false" ht="15" hidden="false" customHeight="true" outlineLevel="0" collapsed="false">
      <c r="A9" s="19" t="n">
        <v>5</v>
      </c>
      <c r="B9" s="19" t="s">
        <v>9</v>
      </c>
      <c r="C9" s="20" t="s">
        <v>685</v>
      </c>
      <c r="D9" s="20"/>
      <c r="E9" s="19" t="s">
        <v>54</v>
      </c>
      <c r="F9" s="21" t="n">
        <v>2</v>
      </c>
      <c r="G9" s="19" t="s">
        <v>118</v>
      </c>
      <c r="H9" s="32"/>
      <c r="I9" s="23" t="n">
        <f aca="false">IF(ISNUMBER(H9),H9,IF(G9&lt;&gt;"",IFERROR(INDEX(Прайс!$G$5:$G$150,MATCH(G9,Прайс!$A$5:$A$150,0)),""),""))</f>
        <v>300000</v>
      </c>
      <c r="J9" s="24" t="n">
        <f aca="false">IF(AND(ISNUMBER(F9),ISNUMBER(I9)),F9*I9,"")</f>
        <v>600000</v>
      </c>
      <c r="K9" s="19" t="s">
        <v>296</v>
      </c>
      <c r="L9" s="20"/>
    </row>
    <row r="10" customFormat="false" ht="15" hidden="false" customHeight="true" outlineLevel="0" collapsed="false">
      <c r="A10" s="19" t="n">
        <v>6</v>
      </c>
      <c r="B10" s="19" t="s">
        <v>9</v>
      </c>
      <c r="C10" s="20" t="s">
        <v>686</v>
      </c>
      <c r="D10" s="20" t="s">
        <v>687</v>
      </c>
      <c r="E10" s="19" t="s">
        <v>54</v>
      </c>
      <c r="F10" s="25" t="n">
        <v>93</v>
      </c>
      <c r="G10" s="19" t="s">
        <v>104</v>
      </c>
      <c r="H10" s="32"/>
      <c r="I10" s="23" t="n">
        <f aca="false">IF(ISNUMBER(H10),H10,IF(G10&lt;&gt;"",IFERROR(INDEX(Прайс!$G$5:$G$150,MATCH(G10,Прайс!$A$5:$A$150,0)),""),""))</f>
        <v>35000</v>
      </c>
      <c r="J10" s="24" t="n">
        <f aca="false">IF(AND(ISNUMBER(F10),ISNUMBER(I10)),F10*I10,"")</f>
        <v>3255000</v>
      </c>
      <c r="K10" s="19" t="s">
        <v>492</v>
      </c>
      <c r="L10" s="20" t="s">
        <v>688</v>
      </c>
    </row>
    <row r="11" customFormat="false" ht="15" hidden="false" customHeight="true" outlineLevel="0" collapsed="false">
      <c r="A11" s="19" t="n">
        <v>7</v>
      </c>
      <c r="B11" s="19" t="s">
        <v>9</v>
      </c>
      <c r="C11" s="20" t="s">
        <v>107</v>
      </c>
      <c r="D11" s="20" t="s">
        <v>689</v>
      </c>
      <c r="E11" s="19" t="s">
        <v>54</v>
      </c>
      <c r="F11" s="25" t="n">
        <v>10</v>
      </c>
      <c r="G11" s="19" t="s">
        <v>106</v>
      </c>
      <c r="H11" s="32"/>
      <c r="I11" s="23" t="n">
        <f aca="false">IF(ISNUMBER(H11),H11,IF(G11&lt;&gt;"",IFERROR(INDEX(Прайс!$G$5:$G$150,MATCH(G11,Прайс!$A$5:$A$150,0)),""),""))</f>
        <v>200000</v>
      </c>
      <c r="J11" s="24" t="n">
        <f aca="false">IF(AND(ISNUMBER(F11),ISNUMBER(I11)),F11*I11,"")</f>
        <v>2000000</v>
      </c>
      <c r="K11" s="19" t="s">
        <v>492</v>
      </c>
      <c r="L11" s="20" t="s">
        <v>688</v>
      </c>
    </row>
    <row r="12" customFormat="false" ht="15" hidden="false" customHeight="true" outlineLevel="0" collapsed="false">
      <c r="A12" s="19" t="n">
        <v>8</v>
      </c>
      <c r="B12" s="19" t="s">
        <v>9</v>
      </c>
      <c r="C12" s="20" t="s">
        <v>538</v>
      </c>
      <c r="D12" s="20" t="s">
        <v>690</v>
      </c>
      <c r="E12" s="19" t="s">
        <v>54</v>
      </c>
      <c r="F12" s="25" t="n">
        <v>35</v>
      </c>
      <c r="G12" s="19" t="s">
        <v>112</v>
      </c>
      <c r="H12" s="32"/>
      <c r="I12" s="23" t="n">
        <f aca="false">IF(ISNUMBER(H12),H12,IF(G12&lt;&gt;"",IFERROR(INDEX(Прайс!$G$5:$G$150,MATCH(G12,Прайс!$A$5:$A$150,0)),""),""))</f>
        <v>25000</v>
      </c>
      <c r="J12" s="24" t="n">
        <f aca="false">IF(AND(ISNUMBER(F12),ISNUMBER(I12)),F12*I12,"")</f>
        <v>875000</v>
      </c>
      <c r="K12" s="19" t="s">
        <v>492</v>
      </c>
      <c r="L12" s="20" t="s">
        <v>688</v>
      </c>
    </row>
    <row r="13" customFormat="false" ht="15" hidden="false" customHeight="true" outlineLevel="0" collapsed="false">
      <c r="A13" s="19" t="n">
        <v>9</v>
      </c>
      <c r="B13" s="19" t="s">
        <v>8</v>
      </c>
      <c r="C13" s="20" t="s">
        <v>691</v>
      </c>
      <c r="D13" s="20" t="s">
        <v>692</v>
      </c>
      <c r="E13" s="19" t="s">
        <v>54</v>
      </c>
      <c r="F13" s="21" t="n">
        <v>2</v>
      </c>
      <c r="G13" s="19" t="s">
        <v>80</v>
      </c>
      <c r="H13" s="32"/>
      <c r="I13" s="23" t="n">
        <f aca="false">IF(ISNUMBER(H13),H13,IF(G13&lt;&gt;"",IFERROR(INDEX(Прайс!$G$5:$G$150,MATCH(G13,Прайс!$A$5:$A$150,0)),""),""))</f>
        <v>3500000</v>
      </c>
      <c r="J13" s="24" t="n">
        <f aca="false">IF(AND(ISNUMBER(F13),ISNUMBER(I13)),F13*I13,"")</f>
        <v>7000000</v>
      </c>
      <c r="K13" s="19" t="s">
        <v>296</v>
      </c>
      <c r="L13" s="20"/>
    </row>
    <row r="14" customFormat="false" ht="15" hidden="false" customHeight="true" outlineLevel="0" collapsed="false">
      <c r="A14" s="19" t="n">
        <v>10</v>
      </c>
      <c r="B14" s="19" t="s">
        <v>8</v>
      </c>
      <c r="C14" s="20" t="s">
        <v>693</v>
      </c>
      <c r="D14" s="20"/>
      <c r="E14" s="19" t="s">
        <v>54</v>
      </c>
      <c r="F14" s="25" t="n">
        <v>2</v>
      </c>
      <c r="G14" s="19" t="s">
        <v>59</v>
      </c>
      <c r="H14" s="32"/>
      <c r="I14" s="23" t="n">
        <f aca="false">IF(ISNUMBER(H14),H14,IF(G14&lt;&gt;"",IFERROR(INDEX(Прайс!$G$5:$G$150,MATCH(G14,Прайс!$A$5:$A$150,0)),""),""))</f>
        <v>1500000</v>
      </c>
      <c r="J14" s="24" t="n">
        <f aca="false">IF(AND(ISNUMBER(F14),ISNUMBER(I14)),F14*I14,"")</f>
        <v>3000000</v>
      </c>
      <c r="K14" s="19" t="s">
        <v>694</v>
      </c>
      <c r="L14" s="20" t="s">
        <v>695</v>
      </c>
    </row>
    <row r="15" customFormat="false" ht="15" hidden="false" customHeight="true" outlineLevel="0" collapsed="false">
      <c r="A15" s="19" t="n">
        <v>11</v>
      </c>
      <c r="B15" s="19" t="s">
        <v>8</v>
      </c>
      <c r="C15" s="20" t="s">
        <v>696</v>
      </c>
      <c r="D15" s="20"/>
      <c r="E15" s="19" t="s">
        <v>54</v>
      </c>
      <c r="F15" s="25" t="n">
        <v>2</v>
      </c>
      <c r="G15" s="19" t="s">
        <v>83</v>
      </c>
      <c r="H15" s="32"/>
      <c r="I15" s="23" t="n">
        <f aca="false">IF(ISNUMBER(H15),H15,IF(G15&lt;&gt;"",IFERROR(INDEX(Прайс!$G$5:$G$150,MATCH(G15,Прайс!$A$5:$A$150,0)),""),""))</f>
        <v>400000</v>
      </c>
      <c r="J15" s="24" t="n">
        <f aca="false">IF(AND(ISNUMBER(F15),ISNUMBER(I15)),F15*I15,"")</f>
        <v>800000</v>
      </c>
      <c r="K15" s="19" t="s">
        <v>694</v>
      </c>
      <c r="L15" s="20"/>
    </row>
    <row r="16" customFormat="false" ht="15" hidden="false" customHeight="true" outlineLevel="0" collapsed="false">
      <c r="A16" s="19" t="n">
        <v>12</v>
      </c>
      <c r="B16" s="19" t="s">
        <v>8</v>
      </c>
      <c r="C16" s="20" t="s">
        <v>697</v>
      </c>
      <c r="D16" s="20" t="s">
        <v>698</v>
      </c>
      <c r="E16" s="19" t="s">
        <v>54</v>
      </c>
      <c r="F16" s="21" t="n">
        <v>3</v>
      </c>
      <c r="G16" s="19" t="s">
        <v>67</v>
      </c>
      <c r="H16" s="32"/>
      <c r="I16" s="23" t="n">
        <f aca="false">IF(ISNUMBER(H16),H16,IF(G16&lt;&gt;"",IFERROR(INDEX(Прайс!$G$5:$G$150,MATCH(G16,Прайс!$A$5:$A$150,0)),""),""))</f>
        <v>1100000</v>
      </c>
      <c r="J16" s="24" t="n">
        <f aca="false">IF(AND(ISNUMBER(F16),ISNUMBER(I16)),F16*I16,"")</f>
        <v>3300000</v>
      </c>
      <c r="K16" s="19" t="s">
        <v>296</v>
      </c>
      <c r="L16" s="20"/>
    </row>
    <row r="17" customFormat="false" ht="15" hidden="false" customHeight="true" outlineLevel="0" collapsed="false">
      <c r="A17" s="19" t="n">
        <v>13</v>
      </c>
      <c r="B17" s="19" t="s">
        <v>8</v>
      </c>
      <c r="C17" s="20" t="s">
        <v>699</v>
      </c>
      <c r="D17" s="20"/>
      <c r="E17" s="19" t="s">
        <v>54</v>
      </c>
      <c r="F17" s="25" t="n">
        <v>3</v>
      </c>
      <c r="G17" s="19" t="s">
        <v>56</v>
      </c>
      <c r="H17" s="32"/>
      <c r="I17" s="23" t="n">
        <f aca="false">IF(ISNUMBER(H17),H17,IF(G17&lt;&gt;"",IFERROR(INDEX(Прайс!$G$5:$G$150,MATCH(G17,Прайс!$A$5:$A$150,0)),""),""))</f>
        <v>900000</v>
      </c>
      <c r="J17" s="24" t="n">
        <f aca="false">IF(AND(ISNUMBER(F17),ISNUMBER(I17)),F17*I17,"")</f>
        <v>2700000</v>
      </c>
      <c r="K17" s="19" t="s">
        <v>694</v>
      </c>
      <c r="L17" s="20"/>
    </row>
    <row r="18" customFormat="false" ht="15" hidden="false" customHeight="true" outlineLevel="0" collapsed="false">
      <c r="A18" s="19" t="n">
        <v>14</v>
      </c>
      <c r="B18" s="19" t="s">
        <v>8</v>
      </c>
      <c r="C18" s="20" t="s">
        <v>700</v>
      </c>
      <c r="D18" s="20" t="s">
        <v>701</v>
      </c>
      <c r="E18" s="19" t="s">
        <v>54</v>
      </c>
      <c r="F18" s="21" t="n">
        <v>2</v>
      </c>
      <c r="G18" s="19" t="s">
        <v>73</v>
      </c>
      <c r="H18" s="32"/>
      <c r="I18" s="23" t="n">
        <f aca="false">IF(ISNUMBER(H18),H18,IF(G18&lt;&gt;"",IFERROR(INDEX(Прайс!$G$5:$G$150,MATCH(G18,Прайс!$A$5:$A$150,0)),""),""))</f>
        <v>2500000</v>
      </c>
      <c r="J18" s="24" t="n">
        <f aca="false">IF(AND(ISNUMBER(F18),ISNUMBER(I18)),F18*I18,"")</f>
        <v>5000000</v>
      </c>
      <c r="K18" s="19" t="s">
        <v>296</v>
      </c>
      <c r="L18" s="20" t="s">
        <v>702</v>
      </c>
    </row>
    <row r="19" customFormat="false" ht="15" hidden="false" customHeight="true" outlineLevel="0" collapsed="false">
      <c r="A19" s="19" t="n">
        <v>15</v>
      </c>
      <c r="B19" s="19" t="s">
        <v>8</v>
      </c>
      <c r="C19" s="20" t="s">
        <v>703</v>
      </c>
      <c r="D19" s="20"/>
      <c r="E19" s="19" t="s">
        <v>54</v>
      </c>
      <c r="F19" s="25" t="n">
        <v>2</v>
      </c>
      <c r="G19" s="19" t="s">
        <v>75</v>
      </c>
      <c r="H19" s="32"/>
      <c r="I19" s="23" t="n">
        <f aca="false">IF(ISNUMBER(H19),H19,IF(G19&lt;&gt;"",IFERROR(INDEX(Прайс!$G$5:$G$150,MATCH(G19,Прайс!$A$5:$A$150,0)),""),""))</f>
        <v>3000000</v>
      </c>
      <c r="J19" s="24" t="n">
        <f aca="false">IF(AND(ISNUMBER(F19),ISNUMBER(I19)),F19*I19,"")</f>
        <v>6000000</v>
      </c>
      <c r="K19" s="19" t="s">
        <v>694</v>
      </c>
      <c r="L19" s="20" t="s">
        <v>704</v>
      </c>
    </row>
    <row r="20" customFormat="false" ht="15" hidden="false" customHeight="true" outlineLevel="0" collapsed="false">
      <c r="A20" s="19" t="n">
        <v>16</v>
      </c>
      <c r="B20" s="19" t="s">
        <v>8</v>
      </c>
      <c r="C20" s="20" t="s">
        <v>79</v>
      </c>
      <c r="D20" s="20"/>
      <c r="E20" s="19" t="s">
        <v>54</v>
      </c>
      <c r="F20" s="25" t="n">
        <v>2</v>
      </c>
      <c r="G20" s="19" t="s">
        <v>78</v>
      </c>
      <c r="H20" s="32"/>
      <c r="I20" s="23" t="n">
        <f aca="false">IF(ISNUMBER(H20),H20,IF(G20&lt;&gt;"",IFERROR(INDEX(Прайс!$G$5:$G$150,MATCH(G20,Прайс!$A$5:$A$150,0)),""),""))</f>
        <v>700000</v>
      </c>
      <c r="J20" s="24" t="n">
        <f aca="false">IF(AND(ISNUMBER(F20),ISNUMBER(I20)),F20*I20,"")</f>
        <v>1400000</v>
      </c>
      <c r="K20" s="19" t="s">
        <v>694</v>
      </c>
      <c r="L20" s="20"/>
    </row>
    <row r="21" customFormat="false" ht="15" hidden="false" customHeight="true" outlineLevel="0" collapsed="false">
      <c r="A21" s="19" t="n">
        <v>17</v>
      </c>
      <c r="B21" s="19" t="s">
        <v>8</v>
      </c>
      <c r="C21" s="20" t="s">
        <v>86</v>
      </c>
      <c r="D21" s="20"/>
      <c r="E21" s="19" t="s">
        <v>54</v>
      </c>
      <c r="F21" s="21" t="n">
        <v>3</v>
      </c>
      <c r="G21" s="19" t="s">
        <v>85</v>
      </c>
      <c r="H21" s="32"/>
      <c r="I21" s="23" t="n">
        <f aca="false">IF(ISNUMBER(H21),H21,IF(G21&lt;&gt;"",IFERROR(INDEX(Прайс!$G$5:$G$150,MATCH(G21,Прайс!$A$5:$A$150,0)),""),""))</f>
        <v>600000</v>
      </c>
      <c r="J21" s="24" t="n">
        <f aca="false">IF(AND(ISNUMBER(F21),ISNUMBER(I21)),F21*I21,"")</f>
        <v>1800000</v>
      </c>
      <c r="K21" s="19" t="s">
        <v>296</v>
      </c>
      <c r="L21" s="20"/>
    </row>
    <row r="22" customFormat="false" ht="15" hidden="false" customHeight="true" outlineLevel="0" collapsed="false">
      <c r="A22" s="19" t="n">
        <v>18</v>
      </c>
      <c r="B22" s="19" t="s">
        <v>8</v>
      </c>
      <c r="C22" s="20" t="s">
        <v>705</v>
      </c>
      <c r="D22" s="20" t="s">
        <v>706</v>
      </c>
      <c r="E22" s="19" t="s">
        <v>54</v>
      </c>
      <c r="F22" s="25" t="n">
        <v>1</v>
      </c>
      <c r="G22" s="19" t="s">
        <v>87</v>
      </c>
      <c r="H22" s="32"/>
      <c r="I22" s="23" t="n">
        <f aca="false">IF(ISNUMBER(H22),H22,IF(G22&lt;&gt;"",IFERROR(INDEX(Прайс!$G$5:$G$150,MATCH(G22,Прайс!$A$5:$A$150,0)),""),""))</f>
        <v>4500000</v>
      </c>
      <c r="J22" s="24" t="n">
        <f aca="false">IF(AND(ISNUMBER(F22),ISNUMBER(I22)),F22*I22,"")</f>
        <v>4500000</v>
      </c>
      <c r="K22" s="19" t="s">
        <v>707</v>
      </c>
      <c r="L22" s="20" t="s">
        <v>708</v>
      </c>
    </row>
    <row r="23" customFormat="false" ht="23.25" hidden="false" customHeight="true" outlineLevel="0" collapsed="false">
      <c r="A23" s="19" t="n">
        <v>19</v>
      </c>
      <c r="B23" s="19" t="s">
        <v>11</v>
      </c>
      <c r="C23" s="20" t="s">
        <v>444</v>
      </c>
      <c r="D23" s="20"/>
      <c r="E23" s="19" t="s">
        <v>54</v>
      </c>
      <c r="F23" s="25" t="n">
        <v>74</v>
      </c>
      <c r="G23" s="19" t="s">
        <v>140</v>
      </c>
      <c r="H23" s="32"/>
      <c r="I23" s="23" t="n">
        <f aca="false">IF(ISNUMBER(H23),H23,IF(G23&lt;&gt;"",IFERROR(INDEX(Прайс!$G$5:$G$150,MATCH(G23,Прайс!$A$5:$A$150,0)),""),""))</f>
        <v>65000</v>
      </c>
      <c r="J23" s="24" t="n">
        <f aca="false">IF(AND(ISNUMBER(F23),ISNUMBER(I23)),F23*I23,"")</f>
        <v>4810000</v>
      </c>
      <c r="K23" s="19" t="s">
        <v>709</v>
      </c>
      <c r="L23" s="20" t="s">
        <v>710</v>
      </c>
    </row>
    <row r="24" customFormat="false" ht="23.25" hidden="false" customHeight="true" outlineLevel="0" collapsed="false">
      <c r="A24" s="19" t="n">
        <v>20</v>
      </c>
      <c r="B24" s="19" t="s">
        <v>11</v>
      </c>
      <c r="C24" s="20" t="s">
        <v>135</v>
      </c>
      <c r="D24" s="20"/>
      <c r="E24" s="19" t="s">
        <v>54</v>
      </c>
      <c r="F24" s="25" t="n">
        <v>6</v>
      </c>
      <c r="G24" s="19" t="s">
        <v>134</v>
      </c>
      <c r="H24" s="32"/>
      <c r="I24" s="23" t="n">
        <f aca="false">IF(ISNUMBER(H24),H24,IF(G24&lt;&gt;"",IFERROR(INDEX(Прайс!$G$5:$G$150,MATCH(G24,Прайс!$A$5:$A$150,0)),""),""))</f>
        <v>55000</v>
      </c>
      <c r="J24" s="24" t="n">
        <f aca="false">IF(AND(ISNUMBER(F24),ISNUMBER(I24)),F24*I24,"")</f>
        <v>330000</v>
      </c>
      <c r="K24" s="19" t="s">
        <v>709</v>
      </c>
      <c r="L24" s="20" t="s">
        <v>711</v>
      </c>
    </row>
    <row r="25" customFormat="false" ht="23.25" hidden="false" customHeight="true" outlineLevel="0" collapsed="false">
      <c r="A25" s="19" t="n">
        <v>21</v>
      </c>
      <c r="B25" s="19" t="s">
        <v>11</v>
      </c>
      <c r="C25" s="20" t="s">
        <v>138</v>
      </c>
      <c r="D25" s="20"/>
      <c r="E25" s="19" t="s">
        <v>54</v>
      </c>
      <c r="F25" s="25" t="n">
        <v>21</v>
      </c>
      <c r="G25" s="19" t="s">
        <v>137</v>
      </c>
      <c r="H25" s="32"/>
      <c r="I25" s="23" t="n">
        <f aca="false">IF(ISNUMBER(H25),H25,IF(G25&lt;&gt;"",IFERROR(INDEX(Прайс!$G$5:$G$150,MATCH(G25,Прайс!$A$5:$A$150,0)),""),""))</f>
        <v>80000</v>
      </c>
      <c r="J25" s="24" t="n">
        <f aca="false">IF(AND(ISNUMBER(F25),ISNUMBER(I25)),F25*I25,"")</f>
        <v>1680000</v>
      </c>
      <c r="K25" s="19" t="s">
        <v>709</v>
      </c>
      <c r="L25" s="20" t="s">
        <v>712</v>
      </c>
    </row>
    <row r="26" customFormat="false" ht="23.25" hidden="false" customHeight="true" outlineLevel="0" collapsed="false">
      <c r="A26" s="19" t="n">
        <v>22</v>
      </c>
      <c r="B26" s="19" t="s">
        <v>11</v>
      </c>
      <c r="C26" s="20" t="s">
        <v>144</v>
      </c>
      <c r="D26" s="20"/>
      <c r="E26" s="19" t="s">
        <v>54</v>
      </c>
      <c r="F26" s="25" t="n">
        <v>7</v>
      </c>
      <c r="G26" s="19" t="s">
        <v>143</v>
      </c>
      <c r="H26" s="32"/>
      <c r="I26" s="23" t="n">
        <f aca="false">IF(ISNUMBER(H26),H26,IF(G26&lt;&gt;"",IFERROR(INDEX(Прайс!$G$5:$G$150,MATCH(G26,Прайс!$A$5:$A$150,0)),""),""))</f>
        <v>25000</v>
      </c>
      <c r="J26" s="24" t="n">
        <f aca="false">IF(AND(ISNUMBER(F26),ISNUMBER(I26)),F26*I26,"")</f>
        <v>175000</v>
      </c>
      <c r="K26" s="19" t="s">
        <v>709</v>
      </c>
      <c r="L26" s="20" t="s">
        <v>713</v>
      </c>
    </row>
    <row r="27" customFormat="false" ht="23.25" hidden="false" customHeight="true" outlineLevel="0" collapsed="false">
      <c r="A27" s="19" t="n">
        <v>23</v>
      </c>
      <c r="B27" s="19" t="s">
        <v>11</v>
      </c>
      <c r="C27" s="20" t="s">
        <v>147</v>
      </c>
      <c r="D27" s="20"/>
      <c r="E27" s="19" t="s">
        <v>54</v>
      </c>
      <c r="F27" s="25" t="n">
        <v>8</v>
      </c>
      <c r="G27" s="19" t="s">
        <v>146</v>
      </c>
      <c r="H27" s="32"/>
      <c r="I27" s="23" t="n">
        <f aca="false">IF(ISNUMBER(H27),H27,IF(G27&lt;&gt;"",IFERROR(INDEX(Прайс!$G$5:$G$150,MATCH(G27,Прайс!$A$5:$A$150,0)),""),""))</f>
        <v>45000</v>
      </c>
      <c r="J27" s="24" t="n">
        <f aca="false">IF(AND(ISNUMBER(F27),ISNUMBER(I27)),F27*I27,"")</f>
        <v>360000</v>
      </c>
      <c r="K27" s="19" t="s">
        <v>709</v>
      </c>
      <c r="L27" s="20" t="s">
        <v>714</v>
      </c>
    </row>
    <row r="28" customFormat="false" ht="23.25" hidden="false" customHeight="true" outlineLevel="0" collapsed="false">
      <c r="A28" s="19" t="n">
        <v>24</v>
      </c>
      <c r="B28" s="19" t="s">
        <v>11</v>
      </c>
      <c r="C28" s="20" t="s">
        <v>149</v>
      </c>
      <c r="D28" s="20"/>
      <c r="E28" s="19" t="s">
        <v>54</v>
      </c>
      <c r="F28" s="25" t="n">
        <v>6</v>
      </c>
      <c r="G28" s="19" t="s">
        <v>148</v>
      </c>
      <c r="H28" s="32"/>
      <c r="I28" s="23" t="n">
        <f aca="false">IF(ISNUMBER(H28),H28,IF(G28&lt;&gt;"",IFERROR(INDEX(Прайс!$G$5:$G$150,MATCH(G28,Прайс!$A$5:$A$150,0)),""),""))</f>
        <v>65000</v>
      </c>
      <c r="J28" s="24" t="n">
        <f aca="false">IF(AND(ISNUMBER(F28),ISNUMBER(I28)),F28*I28,"")</f>
        <v>390000</v>
      </c>
      <c r="K28" s="19" t="s">
        <v>709</v>
      </c>
      <c r="L28" s="20" t="s">
        <v>711</v>
      </c>
    </row>
    <row r="29" customFormat="false" ht="23.25" hidden="false" customHeight="true" outlineLevel="0" collapsed="false">
      <c r="A29" s="19" t="n">
        <v>25</v>
      </c>
      <c r="B29" s="19" t="s">
        <v>11</v>
      </c>
      <c r="C29" s="20" t="s">
        <v>151</v>
      </c>
      <c r="D29" s="20"/>
      <c r="E29" s="19" t="s">
        <v>54</v>
      </c>
      <c r="F29" s="25" t="n">
        <v>9</v>
      </c>
      <c r="G29" s="19" t="s">
        <v>150</v>
      </c>
      <c r="H29" s="32"/>
      <c r="I29" s="23" t="n">
        <f aca="false">IF(ISNUMBER(H29),H29,IF(G29&lt;&gt;"",IFERROR(INDEX(Прайс!$G$5:$G$150,MATCH(G29,Прайс!$A$5:$A$150,0)),""),""))</f>
        <v>85000</v>
      </c>
      <c r="J29" s="24" t="n">
        <f aca="false">IF(AND(ISNUMBER(F29),ISNUMBER(I29)),F29*I29,"")</f>
        <v>765000</v>
      </c>
      <c r="K29" s="19" t="s">
        <v>709</v>
      </c>
      <c r="L29" s="20" t="s">
        <v>715</v>
      </c>
    </row>
    <row r="30" customFormat="false" ht="23.25" hidden="false" customHeight="true" outlineLevel="0" collapsed="false">
      <c r="A30" s="19" t="n">
        <v>26</v>
      </c>
      <c r="B30" s="19" t="s">
        <v>11</v>
      </c>
      <c r="C30" s="20" t="s">
        <v>153</v>
      </c>
      <c r="D30" s="20"/>
      <c r="E30" s="19" t="s">
        <v>54</v>
      </c>
      <c r="F30" s="25" t="n">
        <v>3</v>
      </c>
      <c r="G30" s="19" t="s">
        <v>152</v>
      </c>
      <c r="H30" s="32"/>
      <c r="I30" s="23" t="n">
        <f aca="false">IF(ISNUMBER(H30),H30,IF(G30&lt;&gt;"",IFERROR(INDEX(Прайс!$G$5:$G$150,MATCH(G30,Прайс!$A$5:$A$150,0)),""),""))</f>
        <v>105000</v>
      </c>
      <c r="J30" s="24" t="n">
        <f aca="false">IF(AND(ISNUMBER(F30),ISNUMBER(I30)),F30*I30,"")</f>
        <v>315000</v>
      </c>
      <c r="K30" s="19" t="s">
        <v>709</v>
      </c>
      <c r="L30" s="20" t="s">
        <v>716</v>
      </c>
    </row>
    <row r="31" customFormat="false" ht="23.25" hidden="false" customHeight="true" outlineLevel="0" collapsed="false">
      <c r="A31" s="19" t="n">
        <v>27</v>
      </c>
      <c r="B31" s="19" t="s">
        <v>11</v>
      </c>
      <c r="C31" s="20" t="s">
        <v>717</v>
      </c>
      <c r="D31" s="20"/>
      <c r="E31" s="19" t="s">
        <v>54</v>
      </c>
      <c r="F31" s="25" t="n">
        <v>7</v>
      </c>
      <c r="G31" s="19" t="s">
        <v>156</v>
      </c>
      <c r="H31" s="32"/>
      <c r="I31" s="23" t="n">
        <f aca="false">IF(ISNUMBER(H31),H31,IF(G31&lt;&gt;"",IFERROR(INDEX(Прайс!$G$5:$G$150,MATCH(G31,Прайс!$A$5:$A$150,0)),""),""))</f>
        <v>120000</v>
      </c>
      <c r="J31" s="24" t="n">
        <f aca="false">IF(AND(ISNUMBER(F31),ISNUMBER(I31)),F31*I31,"")</f>
        <v>840000</v>
      </c>
      <c r="K31" s="19" t="s">
        <v>709</v>
      </c>
      <c r="L31" s="20" t="s">
        <v>718</v>
      </c>
    </row>
    <row r="32" customFormat="false" ht="23.25" hidden="false" customHeight="true" outlineLevel="0" collapsed="false">
      <c r="A32" s="19" t="n">
        <v>28</v>
      </c>
      <c r="B32" s="19" t="s">
        <v>11</v>
      </c>
      <c r="C32" s="20" t="s">
        <v>160</v>
      </c>
      <c r="D32" s="20"/>
      <c r="E32" s="19" t="s">
        <v>54</v>
      </c>
      <c r="F32" s="25" t="n">
        <v>2</v>
      </c>
      <c r="G32" s="19" t="s">
        <v>159</v>
      </c>
      <c r="H32" s="32"/>
      <c r="I32" s="23" t="n">
        <f aca="false">IF(ISNUMBER(H32),H32,IF(G32&lt;&gt;"",IFERROR(INDEX(Прайс!$G$5:$G$150,MATCH(G32,Прайс!$A$5:$A$150,0)),""),""))</f>
        <v>400000</v>
      </c>
      <c r="J32" s="24" t="n">
        <f aca="false">IF(AND(ISNUMBER(F32),ISNUMBER(I32)),F32*I32,"")</f>
        <v>800000</v>
      </c>
      <c r="K32" s="19" t="s">
        <v>709</v>
      </c>
      <c r="L32" s="20" t="s">
        <v>719</v>
      </c>
    </row>
    <row r="33" customFormat="false" ht="23.25" hidden="false" customHeight="true" outlineLevel="0" collapsed="false">
      <c r="A33" s="19" t="n">
        <v>29</v>
      </c>
      <c r="B33" s="19" t="s">
        <v>12</v>
      </c>
      <c r="C33" s="20" t="s">
        <v>540</v>
      </c>
      <c r="D33" s="20" t="s">
        <v>720</v>
      </c>
      <c r="E33" s="19" t="s">
        <v>168</v>
      </c>
      <c r="F33" s="21" t="n">
        <v>22</v>
      </c>
      <c r="G33" s="19" t="s">
        <v>166</v>
      </c>
      <c r="H33" s="32"/>
      <c r="I33" s="23" t="n">
        <f aca="false">IF(ISNUMBER(H33),H33,IF(G33&lt;&gt;"",IFERROR(INDEX(Прайс!$G$5:$G$150,MATCH(G33,Прайс!$A$5:$A$150,0)),""),""))</f>
        <v>419070</v>
      </c>
      <c r="J33" s="24" t="n">
        <f aca="false">IF(AND(ISNUMBER(F33),ISNUMBER(I33)),F33*I33,"")</f>
        <v>9219540</v>
      </c>
      <c r="K33" s="19" t="s">
        <v>542</v>
      </c>
      <c r="L33" s="20"/>
    </row>
    <row r="34" customFormat="false" ht="15" hidden="false" customHeight="true" outlineLevel="0" collapsed="false">
      <c r="A34" s="19" t="n">
        <v>30</v>
      </c>
      <c r="B34" s="19" t="s">
        <v>12</v>
      </c>
      <c r="C34" s="20" t="s">
        <v>544</v>
      </c>
      <c r="D34" s="20"/>
      <c r="E34" s="19" t="s">
        <v>54</v>
      </c>
      <c r="F34" s="25" t="n">
        <v>2</v>
      </c>
      <c r="G34" s="19" t="s">
        <v>163</v>
      </c>
      <c r="H34" s="32"/>
      <c r="I34" s="23" t="n">
        <f aca="false">IF(ISNUMBER(H34),H34,IF(G34&lt;&gt;"",IFERROR(INDEX(Прайс!$G$5:$G$150,MATCH(G34,Прайс!$A$5:$A$150,0)),""),""))</f>
        <v>350000</v>
      </c>
      <c r="J34" s="24" t="n">
        <f aca="false">IF(AND(ISNUMBER(F34),ISNUMBER(I34)),F34*I34,"")</f>
        <v>700000</v>
      </c>
      <c r="K34" s="19" t="s">
        <v>546</v>
      </c>
      <c r="L34" s="20"/>
    </row>
    <row r="35" customFormat="false" ht="15" hidden="false" customHeight="true" outlineLevel="0" collapsed="false">
      <c r="A35" s="19" t="n">
        <v>31</v>
      </c>
      <c r="B35" s="19" t="s">
        <v>13</v>
      </c>
      <c r="C35" s="20" t="s">
        <v>721</v>
      </c>
      <c r="D35" s="20" t="s">
        <v>722</v>
      </c>
      <c r="E35" s="19" t="s">
        <v>168</v>
      </c>
      <c r="F35" s="21" t="n">
        <v>59.06</v>
      </c>
      <c r="G35" s="19" t="s">
        <v>177</v>
      </c>
      <c r="H35" s="32"/>
      <c r="I35" s="23" t="n">
        <f aca="false">IF(ISNUMBER(H35),H35,IF(G35&lt;&gt;"",IFERROR(INDEX(Прайс!$G$5:$G$150,MATCH(G35,Прайс!$A$5:$A$150,0)),""),""))</f>
        <v>350000</v>
      </c>
      <c r="J35" s="24" t="n">
        <f aca="false">IF(AND(ISNUMBER(F35),ISNUMBER(I35)),F35*I35,"")</f>
        <v>20671000</v>
      </c>
      <c r="K35" s="19" t="s">
        <v>296</v>
      </c>
      <c r="L35" s="20"/>
    </row>
    <row r="36" customFormat="false" ht="23.25" hidden="false" customHeight="true" outlineLevel="0" collapsed="false">
      <c r="A36" s="19" t="n">
        <v>32</v>
      </c>
      <c r="B36" s="19" t="s">
        <v>13</v>
      </c>
      <c r="C36" s="20" t="s">
        <v>723</v>
      </c>
      <c r="D36" s="20"/>
      <c r="E36" s="19" t="s">
        <v>168</v>
      </c>
      <c r="F36" s="21" t="n">
        <v>73.64</v>
      </c>
      <c r="G36" s="19"/>
      <c r="H36" s="22"/>
      <c r="I36" s="23" t="str">
        <f aca="false">IF(ISNUMBER(H36),H36,IF(G36&lt;&gt;"",IFERROR(INDEX(Прайс!$G$5:$G$150,MATCH(G36,Прайс!$A$5:$A$150,0)),""),""))</f>
        <v/>
      </c>
      <c r="J36" s="24" t="str">
        <f aca="false">IF(AND(ISNUMBER(F36),ISNUMBER(I36)),F36*I36,"")</f>
        <v/>
      </c>
      <c r="K36" s="19" t="s">
        <v>296</v>
      </c>
      <c r="L36" s="20" t="s">
        <v>724</v>
      </c>
    </row>
    <row r="37" customFormat="false" ht="15" hidden="false" customHeight="true" outlineLevel="0" collapsed="false">
      <c r="A37" s="19" t="n">
        <v>33</v>
      </c>
      <c r="B37" s="19" t="s">
        <v>14</v>
      </c>
      <c r="C37" s="20" t="s">
        <v>725</v>
      </c>
      <c r="D37" s="20"/>
      <c r="E37" s="19" t="s">
        <v>168</v>
      </c>
      <c r="F37" s="21" t="n">
        <v>81.8</v>
      </c>
      <c r="G37" s="19" t="s">
        <v>182</v>
      </c>
      <c r="H37" s="32"/>
      <c r="I37" s="23" t="n">
        <f aca="false">IF(ISNUMBER(H37),H37,IF(G37&lt;&gt;"",IFERROR(INDEX(Прайс!$G$5:$G$150,MATCH(G37,Прайс!$A$5:$A$150,0)),""),""))</f>
        <v>32000</v>
      </c>
      <c r="J37" s="24" t="n">
        <f aca="false">IF(AND(ISNUMBER(F37),ISNUMBER(I37)),F37*I37,"")</f>
        <v>2617600</v>
      </c>
      <c r="K37" s="19" t="s">
        <v>296</v>
      </c>
      <c r="L37" s="20"/>
    </row>
    <row r="38" customFormat="false" ht="15" hidden="false" customHeight="true" outlineLevel="0" collapsed="false">
      <c r="A38" s="19" t="n">
        <v>34</v>
      </c>
      <c r="B38" s="19" t="s">
        <v>14</v>
      </c>
      <c r="C38" s="20" t="s">
        <v>726</v>
      </c>
      <c r="D38" s="20"/>
      <c r="E38" s="19" t="s">
        <v>168</v>
      </c>
      <c r="F38" s="21" t="n">
        <v>125.3</v>
      </c>
      <c r="G38" s="19" t="s">
        <v>179</v>
      </c>
      <c r="H38" s="32"/>
      <c r="I38" s="23" t="n">
        <f aca="false">IF(ISNUMBER(H38),H38,IF(G38&lt;&gt;"",IFERROR(INDEX(Прайс!$G$5:$G$150,MATCH(G38,Прайс!$A$5:$A$150,0)),""),""))</f>
        <v>25000</v>
      </c>
      <c r="J38" s="24" t="n">
        <f aca="false">IF(AND(ISNUMBER(F38),ISNUMBER(I38)),F38*I38,"")</f>
        <v>3132500</v>
      </c>
      <c r="K38" s="19" t="s">
        <v>296</v>
      </c>
      <c r="L38" s="20" t="s">
        <v>727</v>
      </c>
    </row>
    <row r="39" customFormat="false" ht="15" hidden="false" customHeight="true" outlineLevel="0" collapsed="false">
      <c r="A39" s="19" t="n">
        <v>35</v>
      </c>
      <c r="B39" s="19" t="s">
        <v>14</v>
      </c>
      <c r="C39" s="20" t="s">
        <v>728</v>
      </c>
      <c r="D39" s="20"/>
      <c r="E39" s="19" t="s">
        <v>168</v>
      </c>
      <c r="F39" s="21" t="n">
        <v>49.8</v>
      </c>
      <c r="G39" s="19" t="s">
        <v>184</v>
      </c>
      <c r="H39" s="32"/>
      <c r="I39" s="23" t="n">
        <f aca="false">IF(ISNUMBER(H39),H39,IF(G39&lt;&gt;"",IFERROR(INDEX(Прайс!$G$5:$G$150,MATCH(G39,Прайс!$A$5:$A$150,0)),""),""))</f>
        <v>250000</v>
      </c>
      <c r="J39" s="24" t="n">
        <f aca="false">IF(AND(ISNUMBER(F39),ISNUMBER(I39)),F39*I39,"")</f>
        <v>12450000</v>
      </c>
      <c r="K39" s="19" t="s">
        <v>296</v>
      </c>
      <c r="L39" s="20"/>
    </row>
    <row r="40" customFormat="false" ht="15" hidden="false" customHeight="true" outlineLevel="0" collapsed="false">
      <c r="A40" s="19" t="n">
        <v>36</v>
      </c>
      <c r="B40" s="19" t="s">
        <v>14</v>
      </c>
      <c r="C40" s="20" t="s">
        <v>729</v>
      </c>
      <c r="D40" s="20"/>
      <c r="E40" s="19" t="s">
        <v>168</v>
      </c>
      <c r="F40" s="21" t="n">
        <v>40.2</v>
      </c>
      <c r="G40" s="19" t="s">
        <v>186</v>
      </c>
      <c r="H40" s="32"/>
      <c r="I40" s="23" t="n">
        <f aca="false">IF(ISNUMBER(H40),H40,IF(G40&lt;&gt;"",IFERROR(INDEX(Прайс!$G$5:$G$150,MATCH(G40,Прайс!$A$5:$A$150,0)),""),""))</f>
        <v>400000</v>
      </c>
      <c r="J40" s="24" t="n">
        <f aca="false">IF(AND(ISNUMBER(F40),ISNUMBER(I40)),F40*I40,"")</f>
        <v>16080000</v>
      </c>
      <c r="K40" s="19" t="s">
        <v>296</v>
      </c>
      <c r="L40" s="20"/>
    </row>
    <row r="41" customFormat="false" ht="15" hidden="false" customHeight="true" outlineLevel="0" collapsed="false">
      <c r="A41" s="19" t="n">
        <v>37</v>
      </c>
      <c r="B41" s="19" t="s">
        <v>14</v>
      </c>
      <c r="C41" s="20" t="s">
        <v>730</v>
      </c>
      <c r="D41" s="20"/>
      <c r="E41" s="19" t="s">
        <v>168</v>
      </c>
      <c r="F41" s="21" t="n">
        <v>53.9</v>
      </c>
      <c r="G41" s="19" t="s">
        <v>189</v>
      </c>
      <c r="H41" s="32"/>
      <c r="I41" s="23" t="n">
        <f aca="false">IF(ISNUMBER(H41),H41,IF(G41&lt;&gt;"",IFERROR(INDEX(Прайс!$G$5:$G$150,MATCH(G41,Прайс!$A$5:$A$150,0)),""),""))</f>
        <v>150000</v>
      </c>
      <c r="J41" s="24" t="n">
        <f aca="false">IF(AND(ISNUMBER(F41),ISNUMBER(I41)),F41*I41,"")</f>
        <v>8085000</v>
      </c>
      <c r="K41" s="19" t="s">
        <v>296</v>
      </c>
      <c r="L41" s="20" t="s">
        <v>731</v>
      </c>
    </row>
    <row r="42" customFormat="false" ht="23.25" hidden="false" customHeight="true" outlineLevel="0" collapsed="false">
      <c r="A42" s="19" t="n">
        <v>38</v>
      </c>
      <c r="B42" s="19" t="s">
        <v>20</v>
      </c>
      <c r="C42" s="20" t="s">
        <v>732</v>
      </c>
      <c r="D42" s="20"/>
      <c r="E42" s="19" t="s">
        <v>440</v>
      </c>
      <c r="F42" s="21" t="n">
        <v>1</v>
      </c>
      <c r="G42" s="19"/>
      <c r="H42" s="22"/>
      <c r="I42" s="23" t="str">
        <f aca="false">IF(ISNUMBER(H42),H42,IF(G42&lt;&gt;"",IFERROR(INDEX(Прайс!$G$5:$G$150,MATCH(G42,Прайс!$A$5:$A$150,0)),""),""))</f>
        <v/>
      </c>
      <c r="J42" s="24" t="str">
        <f aca="false">IF(AND(ISNUMBER(F42),ISNUMBER(I42)),F42*I42,"")</f>
        <v/>
      </c>
      <c r="K42" s="19" t="s">
        <v>296</v>
      </c>
      <c r="L42" s="20" t="s">
        <v>733</v>
      </c>
    </row>
    <row r="43" customFormat="false" ht="15" hidden="false" customHeight="true" outlineLevel="0" collapsed="false">
      <c r="A43" s="49"/>
      <c r="B43" s="49"/>
      <c r="C43" s="49"/>
      <c r="D43" s="49"/>
      <c r="E43" s="49"/>
      <c r="F43" s="49"/>
      <c r="G43" s="49"/>
      <c r="H43" s="49"/>
      <c r="I43" s="50" t="s">
        <v>7</v>
      </c>
      <c r="J43" s="51" t="n">
        <f aca="false">SUM(J5:J42)</f>
        <v>147590640</v>
      </c>
      <c r="K43" s="49"/>
      <c r="L43" s="49"/>
    </row>
    <row r="44" customFormat="false" ht="15" hidden="false" customHeight="true" outlineLevel="0" collapsed="false">
      <c r="I44" s="3" t="s">
        <v>576</v>
      </c>
      <c r="J44" s="3" t="n">
        <f aca="false">COUNTBLANK(I5:I42)</f>
        <v>2</v>
      </c>
    </row>
    <row r="45" customFormat="false" ht="15" hidden="false" customHeight="true" outlineLevel="0" collapsed="false">
      <c r="I45" s="3" t="s">
        <v>577</v>
      </c>
      <c r="J45" s="3" t="n">
        <f aca="false">COUNTIF(F5:F42,"~?")</f>
        <v>0</v>
      </c>
    </row>
  </sheetData>
  <autoFilter ref="A4:L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2" t="s">
        <v>734</v>
      </c>
    </row>
    <row r="2" customFormat="false" ht="15" hidden="false" customHeight="true" outlineLevel="0" collapsed="false">
      <c r="A2" s="3" t="s">
        <v>677</v>
      </c>
    </row>
    <row r="4" customFormat="false" ht="30" hidden="false" customHeight="true" outlineLevel="0" collapsed="false">
      <c r="A4" s="4" t="s">
        <v>285</v>
      </c>
      <c r="B4" s="4" t="s">
        <v>2</v>
      </c>
      <c r="C4" s="4" t="s">
        <v>46</v>
      </c>
      <c r="D4" s="4" t="s">
        <v>286</v>
      </c>
      <c r="E4" s="4" t="s">
        <v>47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291</v>
      </c>
      <c r="K4" s="4" t="s">
        <v>292</v>
      </c>
      <c r="L4" s="4" t="s">
        <v>293</v>
      </c>
    </row>
    <row r="5" customFormat="false" ht="34.5" hidden="false" customHeight="true" outlineLevel="0" collapsed="false">
      <c r="A5" s="19" t="n">
        <v>1</v>
      </c>
      <c r="B5" s="19" t="s">
        <v>16</v>
      </c>
      <c r="C5" s="20" t="s">
        <v>735</v>
      </c>
      <c r="D5" s="20" t="s">
        <v>736</v>
      </c>
      <c r="E5" s="19" t="s">
        <v>440</v>
      </c>
      <c r="F5" s="21" t="n">
        <v>1</v>
      </c>
      <c r="G5" s="19"/>
      <c r="H5" s="32" t="n">
        <v>40500000</v>
      </c>
      <c r="I5" s="23" t="n">
        <f aca="false">IF(ISNUMBER(H5),H5,IF(G5&lt;&gt;"",IFERROR(INDEX(Прайс!$G$5:$G$150,MATCH(G5,Прайс!$A$5:$A$150,0)),""),""))</f>
        <v>40500000</v>
      </c>
      <c r="J5" s="24" t="n">
        <f aca="false">IF(AND(ISNUMBER(F5),ISNUMBER(I5)),F5*I5,"")</f>
        <v>40500000</v>
      </c>
      <c r="K5" s="19" t="s">
        <v>737</v>
      </c>
      <c r="L5" s="20" t="s">
        <v>738</v>
      </c>
    </row>
    <row r="6" customFormat="false" ht="15" hidden="false" customHeight="true" outlineLevel="0" collapsed="false">
      <c r="A6" s="19" t="n">
        <v>2</v>
      </c>
      <c r="B6" s="19" t="s">
        <v>13</v>
      </c>
      <c r="C6" s="20" t="s">
        <v>739</v>
      </c>
      <c r="D6" s="20"/>
      <c r="E6" s="19" t="s">
        <v>168</v>
      </c>
      <c r="F6" s="21" t="n">
        <v>11.1</v>
      </c>
      <c r="G6" s="19" t="s">
        <v>173</v>
      </c>
      <c r="H6" s="32"/>
      <c r="I6" s="23" t="n">
        <f aca="false">IF(ISNUMBER(H6),H6,IF(G6&lt;&gt;"",IFERROR(INDEX(Прайс!$G$5:$G$150,MATCH(G6,Прайс!$A$5:$A$150,0)),""),""))</f>
        <v>350000</v>
      </c>
      <c r="J6" s="24" t="n">
        <f aca="false">IF(AND(ISNUMBER(F6),ISNUMBER(I6)),F6*I6,"")</f>
        <v>3885000</v>
      </c>
      <c r="K6" s="19" t="s">
        <v>296</v>
      </c>
      <c r="L6" s="20"/>
    </row>
    <row r="7" customFormat="false" ht="15" hidden="false" customHeight="true" outlineLevel="0" collapsed="false">
      <c r="A7" s="19" t="n">
        <v>3</v>
      </c>
      <c r="B7" s="19" t="s">
        <v>13</v>
      </c>
      <c r="C7" s="20" t="s">
        <v>740</v>
      </c>
      <c r="D7" s="20"/>
      <c r="E7" s="19" t="s">
        <v>168</v>
      </c>
      <c r="F7" s="21" t="n">
        <v>36.69</v>
      </c>
      <c r="G7" s="19" t="s">
        <v>175</v>
      </c>
      <c r="H7" s="32"/>
      <c r="I7" s="23" t="n">
        <f aca="false">IF(ISNUMBER(H7),H7,IF(G7&lt;&gt;"",IFERROR(INDEX(Прайс!$G$5:$G$150,MATCH(G7,Прайс!$A$5:$A$150,0)),""),""))</f>
        <v>220000</v>
      </c>
      <c r="J7" s="24" t="n">
        <f aca="false">IF(AND(ISNUMBER(F7),ISNUMBER(I7)),F7*I7,"")</f>
        <v>8071800</v>
      </c>
      <c r="K7" s="19" t="s">
        <v>296</v>
      </c>
      <c r="L7" s="20"/>
    </row>
    <row r="8" customFormat="false" ht="23.25" hidden="false" customHeight="true" outlineLevel="0" collapsed="false">
      <c r="A8" s="19" t="n">
        <v>4</v>
      </c>
      <c r="B8" s="19" t="s">
        <v>13</v>
      </c>
      <c r="C8" s="20" t="s">
        <v>741</v>
      </c>
      <c r="D8" s="20"/>
      <c r="E8" s="19" t="s">
        <v>168</v>
      </c>
      <c r="F8" s="21" t="n">
        <v>130.07</v>
      </c>
      <c r="G8" s="19"/>
      <c r="H8" s="22"/>
      <c r="I8" s="23" t="str">
        <f aca="false">IF(ISNUMBER(H8),H8,IF(G8&lt;&gt;"",IFERROR(INDEX(Прайс!$G$5:$G$150,MATCH(G8,Прайс!$A$5:$A$150,0)),""),""))</f>
        <v/>
      </c>
      <c r="J8" s="24" t="str">
        <f aca="false">IF(AND(ISNUMBER(F8),ISNUMBER(I8)),F8*I8,"")</f>
        <v/>
      </c>
      <c r="K8" s="19" t="s">
        <v>742</v>
      </c>
      <c r="L8" s="20" t="s">
        <v>743</v>
      </c>
    </row>
    <row r="9" customFormat="false" ht="15" hidden="false" customHeight="true" outlineLevel="0" collapsed="false">
      <c r="A9" s="19" t="n">
        <v>5</v>
      </c>
      <c r="B9" s="19" t="s">
        <v>12</v>
      </c>
      <c r="C9" s="20" t="s">
        <v>540</v>
      </c>
      <c r="D9" s="20" t="s">
        <v>744</v>
      </c>
      <c r="E9" s="19" t="s">
        <v>168</v>
      </c>
      <c r="F9" s="21" t="n">
        <v>139</v>
      </c>
      <c r="G9" s="19" t="s">
        <v>166</v>
      </c>
      <c r="H9" s="32"/>
      <c r="I9" s="23" t="n">
        <f aca="false">IF(ISNUMBER(H9),H9,IF(G9&lt;&gt;"",IFERROR(INDEX(Прайс!$G$5:$G$150,MATCH(G9,Прайс!$A$5:$A$150,0)),""),""))</f>
        <v>419070</v>
      </c>
      <c r="J9" s="24" t="n">
        <f aca="false">IF(AND(ISNUMBER(F9),ISNUMBER(I9)),F9*I9,"")</f>
        <v>58250730</v>
      </c>
      <c r="K9" s="19" t="s">
        <v>542</v>
      </c>
      <c r="L9" s="20"/>
    </row>
    <row r="10" customFormat="false" ht="15" hidden="false" customHeight="true" outlineLevel="0" collapsed="false">
      <c r="A10" s="19" t="n">
        <v>6</v>
      </c>
      <c r="B10" s="19" t="s">
        <v>12</v>
      </c>
      <c r="C10" s="20" t="s">
        <v>544</v>
      </c>
      <c r="D10" s="20"/>
      <c r="E10" s="19" t="s">
        <v>54</v>
      </c>
      <c r="F10" s="25" t="n">
        <v>8</v>
      </c>
      <c r="G10" s="19" t="s">
        <v>163</v>
      </c>
      <c r="H10" s="32"/>
      <c r="I10" s="23" t="n">
        <f aca="false">IF(ISNUMBER(H10),H10,IF(G10&lt;&gt;"",IFERROR(INDEX(Прайс!$G$5:$G$150,MATCH(G10,Прайс!$A$5:$A$150,0)),""),""))</f>
        <v>350000</v>
      </c>
      <c r="J10" s="24" t="n">
        <f aca="false">IF(AND(ISNUMBER(F10),ISNUMBER(I10)),F10*I10,"")</f>
        <v>2800000</v>
      </c>
      <c r="K10" s="19" t="s">
        <v>546</v>
      </c>
      <c r="L10" s="20" t="s">
        <v>745</v>
      </c>
    </row>
    <row r="11" customFormat="false" ht="15" hidden="false" customHeight="true" outlineLevel="0" collapsed="false">
      <c r="A11" s="19" t="n">
        <v>7</v>
      </c>
      <c r="B11" s="19" t="s">
        <v>8</v>
      </c>
      <c r="C11" s="20" t="s">
        <v>74</v>
      </c>
      <c r="D11" s="20"/>
      <c r="E11" s="19" t="s">
        <v>54</v>
      </c>
      <c r="F11" s="25" t="n">
        <v>1</v>
      </c>
      <c r="G11" s="19" t="s">
        <v>73</v>
      </c>
      <c r="H11" s="32"/>
      <c r="I11" s="23" t="n">
        <f aca="false">IF(ISNUMBER(H11),H11,IF(G11&lt;&gt;"",IFERROR(INDEX(Прайс!$G$5:$G$150,MATCH(G11,Прайс!$A$5:$A$150,0)),""),""))</f>
        <v>2500000</v>
      </c>
      <c r="J11" s="24" t="n">
        <f aca="false">IF(AND(ISNUMBER(F11),ISNUMBER(I11)),F11*I11,"")</f>
        <v>2500000</v>
      </c>
      <c r="K11" s="19" t="s">
        <v>746</v>
      </c>
      <c r="L11" s="20" t="s">
        <v>747</v>
      </c>
    </row>
    <row r="12" customFormat="false" ht="15" hidden="false" customHeight="true" outlineLevel="0" collapsed="false">
      <c r="A12" s="19" t="n">
        <v>8</v>
      </c>
      <c r="B12" s="19" t="s">
        <v>8</v>
      </c>
      <c r="C12" s="20" t="s">
        <v>76</v>
      </c>
      <c r="D12" s="20"/>
      <c r="E12" s="19" t="s">
        <v>54</v>
      </c>
      <c r="F12" s="25" t="n">
        <v>1</v>
      </c>
      <c r="G12" s="19" t="s">
        <v>75</v>
      </c>
      <c r="H12" s="32"/>
      <c r="I12" s="23" t="n">
        <f aca="false">IF(ISNUMBER(H12),H12,IF(G12&lt;&gt;"",IFERROR(INDEX(Прайс!$G$5:$G$150,MATCH(G12,Прайс!$A$5:$A$150,0)),""),""))</f>
        <v>3000000</v>
      </c>
      <c r="J12" s="24" t="n">
        <f aca="false">IF(AND(ISNUMBER(F12),ISNUMBER(I12)),F12*I12,"")</f>
        <v>3000000</v>
      </c>
      <c r="K12" s="19" t="s">
        <v>746</v>
      </c>
      <c r="L12" s="20"/>
    </row>
    <row r="13" customFormat="false" ht="15" hidden="false" customHeight="true" outlineLevel="0" collapsed="false">
      <c r="A13" s="19" t="n">
        <v>9</v>
      </c>
      <c r="B13" s="19" t="s">
        <v>8</v>
      </c>
      <c r="C13" s="20" t="s">
        <v>79</v>
      </c>
      <c r="D13" s="20"/>
      <c r="E13" s="19" t="s">
        <v>54</v>
      </c>
      <c r="F13" s="25" t="n">
        <v>1</v>
      </c>
      <c r="G13" s="19" t="s">
        <v>78</v>
      </c>
      <c r="H13" s="32"/>
      <c r="I13" s="23" t="n">
        <f aca="false">IF(ISNUMBER(H13),H13,IF(G13&lt;&gt;"",IFERROR(INDEX(Прайс!$G$5:$G$150,MATCH(G13,Прайс!$A$5:$A$150,0)),""),""))</f>
        <v>700000</v>
      </c>
      <c r="J13" s="24" t="n">
        <f aca="false">IF(AND(ISNUMBER(F13),ISNUMBER(I13)),F13*I13,"")</f>
        <v>700000</v>
      </c>
      <c r="K13" s="19" t="s">
        <v>746</v>
      </c>
      <c r="L13" s="20"/>
    </row>
    <row r="14" customFormat="false" ht="15" hidden="false" customHeight="true" outlineLevel="0" collapsed="false">
      <c r="A14" s="19" t="n">
        <v>10</v>
      </c>
      <c r="B14" s="19" t="s">
        <v>8</v>
      </c>
      <c r="C14" s="20" t="s">
        <v>72</v>
      </c>
      <c r="D14" s="20"/>
      <c r="E14" s="19" t="s">
        <v>54</v>
      </c>
      <c r="F14" s="25" t="n">
        <v>1</v>
      </c>
      <c r="G14" s="19" t="s">
        <v>71</v>
      </c>
      <c r="H14" s="32"/>
      <c r="I14" s="23" t="n">
        <f aca="false">IF(ISNUMBER(H14),H14,IF(G14&lt;&gt;"",IFERROR(INDEX(Прайс!$G$5:$G$150,MATCH(G14,Прайс!$A$5:$A$150,0)),""),""))</f>
        <v>900000</v>
      </c>
      <c r="J14" s="24" t="n">
        <f aca="false">IF(AND(ISNUMBER(F14),ISNUMBER(I14)),F14*I14,"")</f>
        <v>900000</v>
      </c>
      <c r="K14" s="19" t="s">
        <v>746</v>
      </c>
      <c r="L14" s="20"/>
    </row>
    <row r="15" customFormat="false" ht="15" hidden="false" customHeight="true" outlineLevel="0" collapsed="false">
      <c r="A15" s="19" t="n">
        <v>11</v>
      </c>
      <c r="B15" s="19" t="s">
        <v>8</v>
      </c>
      <c r="C15" s="20" t="s">
        <v>66</v>
      </c>
      <c r="D15" s="20" t="s">
        <v>748</v>
      </c>
      <c r="E15" s="19" t="s">
        <v>54</v>
      </c>
      <c r="F15" s="25" t="n">
        <v>1</v>
      </c>
      <c r="G15" s="19" t="s">
        <v>65</v>
      </c>
      <c r="H15" s="32"/>
      <c r="I15" s="23" t="n">
        <f aca="false">IF(ISNUMBER(H15),H15,IF(G15&lt;&gt;"",IFERROR(INDEX(Прайс!$G$5:$G$150,MATCH(G15,Прайс!$A$5:$A$150,0)),""),""))</f>
        <v>1300000</v>
      </c>
      <c r="J15" s="24" t="n">
        <f aca="false">IF(AND(ISNUMBER(F15),ISNUMBER(I15)),F15*I15,"")</f>
        <v>1300000</v>
      </c>
      <c r="K15" s="19" t="s">
        <v>746</v>
      </c>
      <c r="L15" s="20"/>
    </row>
    <row r="16" customFormat="false" ht="15" hidden="false" customHeight="true" outlineLevel="0" collapsed="false">
      <c r="A16" s="19" t="n">
        <v>12</v>
      </c>
      <c r="B16" s="19" t="s">
        <v>8</v>
      </c>
      <c r="C16" s="20" t="s">
        <v>699</v>
      </c>
      <c r="D16" s="20"/>
      <c r="E16" s="19" t="s">
        <v>54</v>
      </c>
      <c r="F16" s="25" t="n">
        <v>1</v>
      </c>
      <c r="G16" s="19" t="s">
        <v>56</v>
      </c>
      <c r="H16" s="32"/>
      <c r="I16" s="23" t="n">
        <f aca="false">IF(ISNUMBER(H16),H16,IF(G16&lt;&gt;"",IFERROR(INDEX(Прайс!$G$5:$G$150,MATCH(G16,Прайс!$A$5:$A$150,0)),""),""))</f>
        <v>900000</v>
      </c>
      <c r="J16" s="24" t="n">
        <f aca="false">IF(AND(ISNUMBER(F16),ISNUMBER(I16)),F16*I16,"")</f>
        <v>900000</v>
      </c>
      <c r="K16" s="19" t="s">
        <v>746</v>
      </c>
      <c r="L16" s="20"/>
    </row>
    <row r="17" customFormat="false" ht="15" hidden="false" customHeight="true" outlineLevel="0" collapsed="false">
      <c r="A17" s="19" t="n">
        <v>13</v>
      </c>
      <c r="B17" s="19" t="s">
        <v>8</v>
      </c>
      <c r="C17" s="20" t="s">
        <v>749</v>
      </c>
      <c r="D17" s="20" t="s">
        <v>750</v>
      </c>
      <c r="E17" s="19" t="s">
        <v>54</v>
      </c>
      <c r="F17" s="25" t="n">
        <v>1</v>
      </c>
      <c r="G17" s="19" t="s">
        <v>63</v>
      </c>
      <c r="H17" s="32"/>
      <c r="I17" s="23" t="n">
        <f aca="false">IF(ISNUMBER(H17),H17,IF(G17&lt;&gt;"",IFERROR(INDEX(Прайс!$G$5:$G$150,MATCH(G17,Прайс!$A$5:$A$150,0)),""),""))</f>
        <v>900000</v>
      </c>
      <c r="J17" s="24" t="n">
        <f aca="false">IF(AND(ISNUMBER(F17),ISNUMBER(I17)),F17*I17,"")</f>
        <v>900000</v>
      </c>
      <c r="K17" s="19" t="s">
        <v>746</v>
      </c>
      <c r="L17" s="20" t="s">
        <v>751</v>
      </c>
    </row>
    <row r="18" customFormat="false" ht="15" hidden="false" customHeight="true" outlineLevel="0" collapsed="false">
      <c r="A18" s="19" t="n">
        <v>14</v>
      </c>
      <c r="B18" s="19" t="s">
        <v>8</v>
      </c>
      <c r="C18" s="20" t="s">
        <v>53</v>
      </c>
      <c r="D18" s="20"/>
      <c r="E18" s="19" t="s">
        <v>54</v>
      </c>
      <c r="F18" s="25" t="n">
        <v>1</v>
      </c>
      <c r="G18" s="19" t="s">
        <v>52</v>
      </c>
      <c r="H18" s="32"/>
      <c r="I18" s="23" t="n">
        <f aca="false">IF(ISNUMBER(H18),H18,IF(G18&lt;&gt;"",IFERROR(INDEX(Прайс!$G$5:$G$150,MATCH(G18,Прайс!$A$5:$A$150,0)),""),""))</f>
        <v>1200000</v>
      </c>
      <c r="J18" s="24" t="n">
        <f aca="false">IF(AND(ISNUMBER(F18),ISNUMBER(I18)),F18*I18,"")</f>
        <v>1200000</v>
      </c>
      <c r="K18" s="19" t="s">
        <v>746</v>
      </c>
      <c r="L18" s="20"/>
    </row>
    <row r="19" customFormat="false" ht="23.25" hidden="false" customHeight="true" outlineLevel="0" collapsed="false">
      <c r="A19" s="19" t="n">
        <v>15</v>
      </c>
      <c r="B19" s="19" t="s">
        <v>11</v>
      </c>
      <c r="C19" s="20" t="s">
        <v>444</v>
      </c>
      <c r="D19" s="20"/>
      <c r="E19" s="19" t="s">
        <v>54</v>
      </c>
      <c r="F19" s="25" t="n">
        <v>98</v>
      </c>
      <c r="G19" s="19" t="s">
        <v>140</v>
      </c>
      <c r="H19" s="32"/>
      <c r="I19" s="23" t="n">
        <f aca="false">IF(ISNUMBER(H19),H19,IF(G19&lt;&gt;"",IFERROR(INDEX(Прайс!$G$5:$G$150,MATCH(G19,Прайс!$A$5:$A$150,0)),""),""))</f>
        <v>65000</v>
      </c>
      <c r="J19" s="24" t="n">
        <f aca="false">IF(AND(ISNUMBER(F19),ISNUMBER(I19)),F19*I19,"")</f>
        <v>6370000</v>
      </c>
      <c r="K19" s="19" t="s">
        <v>752</v>
      </c>
      <c r="L19" s="20" t="s">
        <v>753</v>
      </c>
    </row>
    <row r="20" customFormat="false" ht="23.25" hidden="false" customHeight="true" outlineLevel="0" collapsed="false">
      <c r="A20" s="19" t="n">
        <v>16</v>
      </c>
      <c r="B20" s="19" t="s">
        <v>11</v>
      </c>
      <c r="C20" s="20" t="s">
        <v>135</v>
      </c>
      <c r="D20" s="20"/>
      <c r="E20" s="19" t="s">
        <v>54</v>
      </c>
      <c r="F20" s="25" t="n">
        <v>8</v>
      </c>
      <c r="G20" s="19" t="s">
        <v>134</v>
      </c>
      <c r="H20" s="32"/>
      <c r="I20" s="23" t="n">
        <f aca="false">IF(ISNUMBER(H20),H20,IF(G20&lt;&gt;"",IFERROR(INDEX(Прайс!$G$5:$G$150,MATCH(G20,Прайс!$A$5:$A$150,0)),""),""))</f>
        <v>55000</v>
      </c>
      <c r="J20" s="24" t="n">
        <f aca="false">IF(AND(ISNUMBER(F20),ISNUMBER(I20)),F20*I20,"")</f>
        <v>440000</v>
      </c>
      <c r="K20" s="19" t="s">
        <v>752</v>
      </c>
      <c r="L20" s="20" t="s">
        <v>754</v>
      </c>
    </row>
    <row r="21" customFormat="false" ht="23.25" hidden="false" customHeight="true" outlineLevel="0" collapsed="false">
      <c r="A21" s="19" t="n">
        <v>17</v>
      </c>
      <c r="B21" s="19" t="s">
        <v>11</v>
      </c>
      <c r="C21" s="20" t="s">
        <v>138</v>
      </c>
      <c r="D21" s="20"/>
      <c r="E21" s="19" t="s">
        <v>54</v>
      </c>
      <c r="F21" s="25" t="n">
        <v>28</v>
      </c>
      <c r="G21" s="19" t="s">
        <v>137</v>
      </c>
      <c r="H21" s="32"/>
      <c r="I21" s="23" t="n">
        <f aca="false">IF(ISNUMBER(H21),H21,IF(G21&lt;&gt;"",IFERROR(INDEX(Прайс!$G$5:$G$150,MATCH(G21,Прайс!$A$5:$A$150,0)),""),""))</f>
        <v>80000</v>
      </c>
      <c r="J21" s="24" t="n">
        <f aca="false">IF(AND(ISNUMBER(F21),ISNUMBER(I21)),F21*I21,"")</f>
        <v>2240000</v>
      </c>
      <c r="K21" s="19" t="s">
        <v>752</v>
      </c>
      <c r="L21" s="20" t="s">
        <v>755</v>
      </c>
    </row>
    <row r="22" customFormat="false" ht="23.25" hidden="false" customHeight="true" outlineLevel="0" collapsed="false">
      <c r="A22" s="19" t="n">
        <v>18</v>
      </c>
      <c r="B22" s="19" t="s">
        <v>11</v>
      </c>
      <c r="C22" s="20" t="s">
        <v>144</v>
      </c>
      <c r="D22" s="20"/>
      <c r="E22" s="19" t="s">
        <v>54</v>
      </c>
      <c r="F22" s="25" t="n">
        <v>10</v>
      </c>
      <c r="G22" s="19" t="s">
        <v>143</v>
      </c>
      <c r="H22" s="32"/>
      <c r="I22" s="23" t="n">
        <f aca="false">IF(ISNUMBER(H22),H22,IF(G22&lt;&gt;"",IFERROR(INDEX(Прайс!$G$5:$G$150,MATCH(G22,Прайс!$A$5:$A$150,0)),""),""))</f>
        <v>25000</v>
      </c>
      <c r="J22" s="24" t="n">
        <f aca="false">IF(AND(ISNUMBER(F22),ISNUMBER(I22)),F22*I22,"")</f>
        <v>250000</v>
      </c>
      <c r="K22" s="19" t="s">
        <v>752</v>
      </c>
      <c r="L22" s="20" t="s">
        <v>756</v>
      </c>
    </row>
    <row r="23" customFormat="false" ht="23.25" hidden="false" customHeight="true" outlineLevel="0" collapsed="false">
      <c r="A23" s="19" t="n">
        <v>19</v>
      </c>
      <c r="B23" s="19" t="s">
        <v>11</v>
      </c>
      <c r="C23" s="20" t="s">
        <v>147</v>
      </c>
      <c r="D23" s="20"/>
      <c r="E23" s="19" t="s">
        <v>54</v>
      </c>
      <c r="F23" s="25" t="n">
        <v>11</v>
      </c>
      <c r="G23" s="19" t="s">
        <v>146</v>
      </c>
      <c r="H23" s="32"/>
      <c r="I23" s="23" t="n">
        <f aca="false">IF(ISNUMBER(H23),H23,IF(G23&lt;&gt;"",IFERROR(INDEX(Прайс!$G$5:$G$150,MATCH(G23,Прайс!$A$5:$A$150,0)),""),""))</f>
        <v>45000</v>
      </c>
      <c r="J23" s="24" t="n">
        <f aca="false">IF(AND(ISNUMBER(F23),ISNUMBER(I23)),F23*I23,"")</f>
        <v>495000</v>
      </c>
      <c r="K23" s="19" t="s">
        <v>752</v>
      </c>
      <c r="L23" s="20" t="s">
        <v>757</v>
      </c>
    </row>
    <row r="24" customFormat="false" ht="23.25" hidden="false" customHeight="true" outlineLevel="0" collapsed="false">
      <c r="A24" s="19" t="n">
        <v>20</v>
      </c>
      <c r="B24" s="19" t="s">
        <v>11</v>
      </c>
      <c r="C24" s="20" t="s">
        <v>149</v>
      </c>
      <c r="D24" s="20"/>
      <c r="E24" s="19" t="s">
        <v>54</v>
      </c>
      <c r="F24" s="25" t="n">
        <v>8</v>
      </c>
      <c r="G24" s="19" t="s">
        <v>148</v>
      </c>
      <c r="H24" s="32"/>
      <c r="I24" s="23" t="n">
        <f aca="false">IF(ISNUMBER(H24),H24,IF(G24&lt;&gt;"",IFERROR(INDEX(Прайс!$G$5:$G$150,MATCH(G24,Прайс!$A$5:$A$150,0)),""),""))</f>
        <v>65000</v>
      </c>
      <c r="J24" s="24" t="n">
        <f aca="false">IF(AND(ISNUMBER(F24),ISNUMBER(I24)),F24*I24,"")</f>
        <v>520000</v>
      </c>
      <c r="K24" s="19" t="s">
        <v>752</v>
      </c>
      <c r="L24" s="20" t="s">
        <v>754</v>
      </c>
    </row>
    <row r="25" customFormat="false" ht="23.25" hidden="false" customHeight="true" outlineLevel="0" collapsed="false">
      <c r="A25" s="19" t="n">
        <v>21</v>
      </c>
      <c r="B25" s="19" t="s">
        <v>11</v>
      </c>
      <c r="C25" s="20" t="s">
        <v>151</v>
      </c>
      <c r="D25" s="20"/>
      <c r="E25" s="19" t="s">
        <v>54</v>
      </c>
      <c r="F25" s="25" t="n">
        <v>12</v>
      </c>
      <c r="G25" s="19" t="s">
        <v>150</v>
      </c>
      <c r="H25" s="32"/>
      <c r="I25" s="23" t="n">
        <f aca="false">IF(ISNUMBER(H25),H25,IF(G25&lt;&gt;"",IFERROR(INDEX(Прайс!$G$5:$G$150,MATCH(G25,Прайс!$A$5:$A$150,0)),""),""))</f>
        <v>85000</v>
      </c>
      <c r="J25" s="24" t="n">
        <f aca="false">IF(AND(ISNUMBER(F25),ISNUMBER(I25)),F25*I25,"")</f>
        <v>1020000</v>
      </c>
      <c r="K25" s="19" t="s">
        <v>752</v>
      </c>
      <c r="L25" s="20" t="s">
        <v>758</v>
      </c>
    </row>
    <row r="26" customFormat="false" ht="23.25" hidden="false" customHeight="true" outlineLevel="0" collapsed="false">
      <c r="A26" s="19" t="n">
        <v>22</v>
      </c>
      <c r="B26" s="19" t="s">
        <v>11</v>
      </c>
      <c r="C26" s="20" t="s">
        <v>153</v>
      </c>
      <c r="D26" s="20"/>
      <c r="E26" s="19" t="s">
        <v>54</v>
      </c>
      <c r="F26" s="25" t="n">
        <v>4</v>
      </c>
      <c r="G26" s="19" t="s">
        <v>152</v>
      </c>
      <c r="H26" s="32"/>
      <c r="I26" s="23" t="n">
        <f aca="false">IF(ISNUMBER(H26),H26,IF(G26&lt;&gt;"",IFERROR(INDEX(Прайс!$G$5:$G$150,MATCH(G26,Прайс!$A$5:$A$150,0)),""),""))</f>
        <v>105000</v>
      </c>
      <c r="J26" s="24" t="n">
        <f aca="false">IF(AND(ISNUMBER(F26),ISNUMBER(I26)),F26*I26,"")</f>
        <v>420000</v>
      </c>
      <c r="K26" s="19" t="s">
        <v>752</v>
      </c>
      <c r="L26" s="20" t="s">
        <v>759</v>
      </c>
    </row>
    <row r="27" customFormat="false" ht="23.25" hidden="false" customHeight="true" outlineLevel="0" collapsed="false">
      <c r="A27" s="19" t="n">
        <v>23</v>
      </c>
      <c r="B27" s="19" t="s">
        <v>11</v>
      </c>
      <c r="C27" s="20" t="s">
        <v>717</v>
      </c>
      <c r="D27" s="20"/>
      <c r="E27" s="19" t="s">
        <v>54</v>
      </c>
      <c r="F27" s="25" t="n">
        <v>9</v>
      </c>
      <c r="G27" s="19" t="s">
        <v>156</v>
      </c>
      <c r="H27" s="32"/>
      <c r="I27" s="23" t="n">
        <f aca="false">IF(ISNUMBER(H27),H27,IF(G27&lt;&gt;"",IFERROR(INDEX(Прайс!$G$5:$G$150,MATCH(G27,Прайс!$A$5:$A$150,0)),""),""))</f>
        <v>120000</v>
      </c>
      <c r="J27" s="24" t="n">
        <f aca="false">IF(AND(ISNUMBER(F27),ISNUMBER(I27)),F27*I27,"")</f>
        <v>1080000</v>
      </c>
      <c r="K27" s="19" t="s">
        <v>752</v>
      </c>
      <c r="L27" s="20" t="s">
        <v>760</v>
      </c>
    </row>
    <row r="28" customFormat="false" ht="23.25" hidden="false" customHeight="true" outlineLevel="0" collapsed="false">
      <c r="A28" s="19" t="n">
        <v>24</v>
      </c>
      <c r="B28" s="19" t="s">
        <v>11</v>
      </c>
      <c r="C28" s="20" t="s">
        <v>160</v>
      </c>
      <c r="D28" s="20"/>
      <c r="E28" s="19" t="s">
        <v>54</v>
      </c>
      <c r="F28" s="25" t="n">
        <v>2</v>
      </c>
      <c r="G28" s="19" t="s">
        <v>159</v>
      </c>
      <c r="H28" s="32"/>
      <c r="I28" s="23" t="n">
        <f aca="false">IF(ISNUMBER(H28),H28,IF(G28&lt;&gt;"",IFERROR(INDEX(Прайс!$G$5:$G$150,MATCH(G28,Прайс!$A$5:$A$150,0)),""),""))</f>
        <v>400000</v>
      </c>
      <c r="J28" s="24" t="n">
        <f aca="false">IF(AND(ISNUMBER(F28),ISNUMBER(I28)),F28*I28,"")</f>
        <v>800000</v>
      </c>
      <c r="K28" s="19" t="s">
        <v>752</v>
      </c>
      <c r="L28" s="20" t="s">
        <v>761</v>
      </c>
    </row>
    <row r="29" customFormat="false" ht="23.25" hidden="false" customHeight="true" outlineLevel="0" collapsed="false">
      <c r="A29" s="19" t="n">
        <v>25</v>
      </c>
      <c r="B29" s="19" t="s">
        <v>9</v>
      </c>
      <c r="C29" s="20" t="s">
        <v>91</v>
      </c>
      <c r="D29" s="20"/>
      <c r="E29" s="19" t="s">
        <v>54</v>
      </c>
      <c r="F29" s="25" t="n">
        <v>94</v>
      </c>
      <c r="G29" s="19" t="s">
        <v>90</v>
      </c>
      <c r="H29" s="32"/>
      <c r="I29" s="23" t="n">
        <f aca="false">IF(ISNUMBER(H29),H29,IF(G29&lt;&gt;"",IFERROR(INDEX(Прайс!$G$5:$G$150,MATCH(G29,Прайс!$A$5:$A$150,0)),""),""))</f>
        <v>100000</v>
      </c>
      <c r="J29" s="24" t="n">
        <f aca="false">IF(AND(ISNUMBER(F29),ISNUMBER(I29)),F29*I29,"")</f>
        <v>9400000</v>
      </c>
      <c r="K29" s="19" t="s">
        <v>752</v>
      </c>
      <c r="L29" s="20" t="s">
        <v>762</v>
      </c>
    </row>
    <row r="30" customFormat="false" ht="23.25" hidden="false" customHeight="true" outlineLevel="0" collapsed="false">
      <c r="A30" s="19" t="n">
        <v>26</v>
      </c>
      <c r="B30" s="19" t="s">
        <v>9</v>
      </c>
      <c r="C30" s="20" t="s">
        <v>404</v>
      </c>
      <c r="D30" s="20"/>
      <c r="E30" s="19" t="s">
        <v>102</v>
      </c>
      <c r="F30" s="25" t="n">
        <v>61</v>
      </c>
      <c r="G30" s="19" t="s">
        <v>100</v>
      </c>
      <c r="H30" s="32"/>
      <c r="I30" s="23" t="n">
        <f aca="false">IF(ISNUMBER(H30),H30,IF(G30&lt;&gt;"",IFERROR(INDEX(Прайс!$G$5:$G$150,MATCH(G30,Прайс!$A$5:$A$150,0)),""),""))</f>
        <v>85000</v>
      </c>
      <c r="J30" s="24" t="n">
        <f aca="false">IF(AND(ISNUMBER(F30),ISNUMBER(I30)),F30*I30,"")</f>
        <v>5185000</v>
      </c>
      <c r="K30" s="19" t="s">
        <v>752</v>
      </c>
      <c r="L30" s="20" t="s">
        <v>763</v>
      </c>
    </row>
    <row r="31" customFormat="false" ht="23.25" hidden="false" customHeight="true" outlineLevel="0" collapsed="false">
      <c r="A31" s="19" t="n">
        <v>27</v>
      </c>
      <c r="B31" s="19" t="s">
        <v>9</v>
      </c>
      <c r="C31" s="20" t="s">
        <v>536</v>
      </c>
      <c r="D31" s="20"/>
      <c r="E31" s="19" t="s">
        <v>54</v>
      </c>
      <c r="F31" s="25" t="n">
        <v>47</v>
      </c>
      <c r="G31" s="19" t="s">
        <v>104</v>
      </c>
      <c r="H31" s="32"/>
      <c r="I31" s="23" t="n">
        <f aca="false">IF(ISNUMBER(H31),H31,IF(G31&lt;&gt;"",IFERROR(INDEX(Прайс!$G$5:$G$150,MATCH(G31,Прайс!$A$5:$A$150,0)),""),""))</f>
        <v>35000</v>
      </c>
      <c r="J31" s="24" t="n">
        <f aca="false">IF(AND(ISNUMBER(F31),ISNUMBER(I31)),F31*I31,"")</f>
        <v>1645000</v>
      </c>
      <c r="K31" s="19" t="s">
        <v>752</v>
      </c>
      <c r="L31" s="20" t="s">
        <v>764</v>
      </c>
    </row>
    <row r="32" customFormat="false" ht="23.25" hidden="false" customHeight="true" outlineLevel="0" collapsed="false">
      <c r="A32" s="19" t="n">
        <v>28</v>
      </c>
      <c r="B32" s="19" t="s">
        <v>9</v>
      </c>
      <c r="C32" s="20" t="s">
        <v>107</v>
      </c>
      <c r="D32" s="20"/>
      <c r="E32" s="19" t="s">
        <v>54</v>
      </c>
      <c r="F32" s="25" t="n">
        <v>8</v>
      </c>
      <c r="G32" s="19" t="s">
        <v>106</v>
      </c>
      <c r="H32" s="32"/>
      <c r="I32" s="23" t="n">
        <f aca="false">IF(ISNUMBER(H32),H32,IF(G32&lt;&gt;"",IFERROR(INDEX(Прайс!$G$5:$G$150,MATCH(G32,Прайс!$A$5:$A$150,0)),""),""))</f>
        <v>200000</v>
      </c>
      <c r="J32" s="24" t="n">
        <f aca="false">IF(AND(ISNUMBER(F32),ISNUMBER(I32)),F32*I32,"")</f>
        <v>1600000</v>
      </c>
      <c r="K32" s="19" t="s">
        <v>752</v>
      </c>
      <c r="L32" s="20" t="s">
        <v>754</v>
      </c>
    </row>
    <row r="33" customFormat="false" ht="23.25" hidden="false" customHeight="true" outlineLevel="0" collapsed="false">
      <c r="A33" s="19" t="n">
        <v>29</v>
      </c>
      <c r="B33" s="19" t="s">
        <v>9</v>
      </c>
      <c r="C33" s="20" t="s">
        <v>538</v>
      </c>
      <c r="D33" s="20"/>
      <c r="E33" s="19" t="s">
        <v>54</v>
      </c>
      <c r="F33" s="25" t="n">
        <v>19</v>
      </c>
      <c r="G33" s="19" t="s">
        <v>114</v>
      </c>
      <c r="H33" s="32"/>
      <c r="I33" s="23" t="n">
        <f aca="false">IF(ISNUMBER(H33),H33,IF(G33&lt;&gt;"",IFERROR(INDEX(Прайс!$G$5:$G$150,MATCH(G33,Прайс!$A$5:$A$150,0)),""),""))</f>
        <v>40000</v>
      </c>
      <c r="J33" s="24" t="n">
        <f aca="false">IF(AND(ISNUMBER(F33),ISNUMBER(I33)),F33*I33,"")</f>
        <v>760000</v>
      </c>
      <c r="K33" s="19" t="s">
        <v>752</v>
      </c>
      <c r="L33" s="20" t="s">
        <v>765</v>
      </c>
    </row>
    <row r="34" customFormat="false" ht="23.25" hidden="false" customHeight="true" outlineLevel="0" collapsed="false">
      <c r="A34" s="19" t="n">
        <v>30</v>
      </c>
      <c r="B34" s="19" t="s">
        <v>10</v>
      </c>
      <c r="C34" s="20" t="s">
        <v>766</v>
      </c>
      <c r="D34" s="20" t="s">
        <v>767</v>
      </c>
      <c r="E34" s="19" t="s">
        <v>102</v>
      </c>
      <c r="F34" s="25" t="n">
        <v>95</v>
      </c>
      <c r="G34" s="19" t="s">
        <v>127</v>
      </c>
      <c r="H34" s="32"/>
      <c r="I34" s="23" t="n">
        <f aca="false">IF(ISNUMBER(H34),H34,IF(G34&lt;&gt;"",IFERROR(INDEX(Прайс!$G$5:$G$150,MATCH(G34,Прайс!$A$5:$A$150,0)),""),""))</f>
        <v>220000</v>
      </c>
      <c r="J34" s="24" t="n">
        <f aca="false">IF(AND(ISNUMBER(F34),ISNUMBER(I34)),F34*I34,"")</f>
        <v>20900000</v>
      </c>
      <c r="K34" s="19" t="s">
        <v>752</v>
      </c>
      <c r="L34" s="20" t="s">
        <v>768</v>
      </c>
    </row>
    <row r="35" customFormat="false" ht="23.25" hidden="false" customHeight="true" outlineLevel="0" collapsed="false">
      <c r="A35" s="19" t="n">
        <v>31</v>
      </c>
      <c r="B35" s="19" t="s">
        <v>14</v>
      </c>
      <c r="C35" s="20" t="s">
        <v>475</v>
      </c>
      <c r="D35" s="20" t="s">
        <v>476</v>
      </c>
      <c r="E35" s="19" t="s">
        <v>168</v>
      </c>
      <c r="F35" s="25" t="n">
        <v>269</v>
      </c>
      <c r="G35" s="19" t="s">
        <v>179</v>
      </c>
      <c r="H35" s="32"/>
      <c r="I35" s="23" t="n">
        <f aca="false">IF(ISNUMBER(H35),H35,IF(G35&lt;&gt;"",IFERROR(INDEX(Прайс!$G$5:$G$150,MATCH(G35,Прайс!$A$5:$A$150,0)),""),""))</f>
        <v>25000</v>
      </c>
      <c r="J35" s="24" t="n">
        <f aca="false">IF(AND(ISNUMBER(F35),ISNUMBER(I35)),F35*I35,"")</f>
        <v>6725000</v>
      </c>
      <c r="K35" s="19" t="s">
        <v>752</v>
      </c>
      <c r="L35" s="20" t="s">
        <v>769</v>
      </c>
    </row>
    <row r="36" customFormat="false" ht="23.25" hidden="false" customHeight="true" outlineLevel="0" collapsed="false">
      <c r="A36" s="19" t="n">
        <v>32</v>
      </c>
      <c r="B36" s="19" t="s">
        <v>14</v>
      </c>
      <c r="C36" s="20" t="s">
        <v>478</v>
      </c>
      <c r="D36" s="20" t="s">
        <v>476</v>
      </c>
      <c r="E36" s="19" t="s">
        <v>168</v>
      </c>
      <c r="F36" s="25" t="n">
        <v>325</v>
      </c>
      <c r="G36" s="19" t="s">
        <v>182</v>
      </c>
      <c r="H36" s="32"/>
      <c r="I36" s="23" t="n">
        <f aca="false">IF(ISNUMBER(H36),H36,IF(G36&lt;&gt;"",IFERROR(INDEX(Прайс!$G$5:$G$150,MATCH(G36,Прайс!$A$5:$A$150,0)),""),""))</f>
        <v>32000</v>
      </c>
      <c r="J36" s="24" t="n">
        <f aca="false">IF(AND(ISNUMBER(F36),ISNUMBER(I36)),F36*I36,"")</f>
        <v>10400000</v>
      </c>
      <c r="K36" s="19" t="s">
        <v>752</v>
      </c>
      <c r="L36" s="20" t="s">
        <v>770</v>
      </c>
    </row>
    <row r="37" customFormat="false" ht="15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  <c r="I37" s="50" t="s">
        <v>7</v>
      </c>
      <c r="J37" s="51" t="n">
        <f aca="false">SUM(J5:J36)</f>
        <v>195157530</v>
      </c>
      <c r="K37" s="49"/>
      <c r="L37" s="49"/>
    </row>
    <row r="38" customFormat="false" ht="15" hidden="false" customHeight="true" outlineLevel="0" collapsed="false">
      <c r="I38" s="3" t="s">
        <v>576</v>
      </c>
      <c r="J38" s="3" t="n">
        <f aca="false">COUNTBLANK(I5:I36)</f>
        <v>1</v>
      </c>
    </row>
    <row r="39" customFormat="false" ht="15" hidden="false" customHeight="true" outlineLevel="0" collapsed="false">
      <c r="I39" s="3" t="s">
        <v>577</v>
      </c>
      <c r="J39" s="3" t="n">
        <f aca="false">COUNTIF(F5:F36,"~?")</f>
        <v>0</v>
      </c>
    </row>
  </sheetData>
  <autoFilter ref="A4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2" t="s">
        <v>771</v>
      </c>
    </row>
    <row r="2" customFormat="false" ht="15" hidden="false" customHeight="true" outlineLevel="0" collapsed="false">
      <c r="A2" s="3" t="s">
        <v>677</v>
      </c>
    </row>
    <row r="4" customFormat="false" ht="30" hidden="false" customHeight="true" outlineLevel="0" collapsed="false">
      <c r="A4" s="4" t="s">
        <v>285</v>
      </c>
      <c r="B4" s="4" t="s">
        <v>2</v>
      </c>
      <c r="C4" s="4" t="s">
        <v>46</v>
      </c>
      <c r="D4" s="4" t="s">
        <v>286</v>
      </c>
      <c r="E4" s="4" t="s">
        <v>47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291</v>
      </c>
      <c r="K4" s="4" t="s">
        <v>292</v>
      </c>
      <c r="L4" s="4" t="s">
        <v>293</v>
      </c>
    </row>
    <row r="5" customFormat="false" ht="45.75" hidden="false" customHeight="true" outlineLevel="0" collapsed="false">
      <c r="A5" s="19" t="n">
        <v>1</v>
      </c>
      <c r="B5" s="19" t="s">
        <v>16</v>
      </c>
      <c r="C5" s="20" t="s">
        <v>772</v>
      </c>
      <c r="D5" s="20" t="s">
        <v>773</v>
      </c>
      <c r="E5" s="19" t="s">
        <v>440</v>
      </c>
      <c r="F5" s="21" t="n">
        <v>1</v>
      </c>
      <c r="G5" s="19"/>
      <c r="H5" s="32" t="n">
        <v>128000000</v>
      </c>
      <c r="I5" s="23" t="n">
        <f aca="false">IF(ISNUMBER(H5),H5,IF(G5&lt;&gt;"",IFERROR(INDEX(Прайс!$G$5:$G$150,MATCH(G5,Прайс!$A$5:$A$150,0)),""),""))</f>
        <v>128000000</v>
      </c>
      <c r="J5" s="24" t="n">
        <f aca="false">IF(AND(ISNUMBER(F5),ISNUMBER(I5)),F5*I5,"")</f>
        <v>128000000</v>
      </c>
      <c r="K5" s="19" t="s">
        <v>737</v>
      </c>
      <c r="L5" s="20" t="s">
        <v>738</v>
      </c>
    </row>
    <row r="6" customFormat="false" ht="23.25" hidden="false" customHeight="true" outlineLevel="0" collapsed="false">
      <c r="A6" s="19" t="n">
        <v>2</v>
      </c>
      <c r="B6" s="19" t="s">
        <v>16</v>
      </c>
      <c r="C6" s="20" t="s">
        <v>774</v>
      </c>
      <c r="D6" s="20" t="s">
        <v>775</v>
      </c>
      <c r="E6" s="19" t="s">
        <v>440</v>
      </c>
      <c r="F6" s="21" t="n">
        <v>1</v>
      </c>
      <c r="G6" s="19"/>
      <c r="H6" s="32" t="n">
        <v>156000000</v>
      </c>
      <c r="I6" s="23" t="n">
        <f aca="false">IF(ISNUMBER(H6),H6,IF(G6&lt;&gt;"",IFERROR(INDEX(Прайс!$G$5:$G$150,MATCH(G6,Прайс!$A$5:$A$150,0)),""),""))</f>
        <v>156000000</v>
      </c>
      <c r="J6" s="24" t="n">
        <f aca="false">IF(AND(ISNUMBER(F6),ISNUMBER(I6)),F6*I6,"")</f>
        <v>156000000</v>
      </c>
      <c r="K6" s="19" t="s">
        <v>737</v>
      </c>
      <c r="L6" s="20" t="s">
        <v>776</v>
      </c>
    </row>
    <row r="7" customFormat="false" ht="15" hidden="false" customHeight="true" outlineLevel="0" collapsed="false">
      <c r="A7" s="19" t="n">
        <v>3</v>
      </c>
      <c r="B7" s="19" t="s">
        <v>12</v>
      </c>
      <c r="C7" s="20" t="s">
        <v>540</v>
      </c>
      <c r="D7" s="20" t="s">
        <v>777</v>
      </c>
      <c r="E7" s="19" t="s">
        <v>168</v>
      </c>
      <c r="F7" s="21" t="n">
        <v>50</v>
      </c>
      <c r="G7" s="19" t="s">
        <v>166</v>
      </c>
      <c r="H7" s="32"/>
      <c r="I7" s="23" t="n">
        <f aca="false">IF(ISNUMBER(H7),H7,IF(G7&lt;&gt;"",IFERROR(INDEX(Прайс!$G$5:$G$150,MATCH(G7,Прайс!$A$5:$A$150,0)),""),""))</f>
        <v>419070</v>
      </c>
      <c r="J7" s="24" t="n">
        <f aca="false">IF(AND(ISNUMBER(F7),ISNUMBER(I7)),F7*I7,"")</f>
        <v>20953500</v>
      </c>
      <c r="K7" s="19" t="s">
        <v>778</v>
      </c>
      <c r="L7" s="20" t="s">
        <v>779</v>
      </c>
    </row>
    <row r="8" customFormat="false" ht="15" hidden="false" customHeight="true" outlineLevel="0" collapsed="false">
      <c r="A8" s="19" t="n">
        <v>4</v>
      </c>
      <c r="B8" s="19" t="s">
        <v>12</v>
      </c>
      <c r="C8" s="20" t="s">
        <v>544</v>
      </c>
      <c r="D8" s="20" t="s">
        <v>780</v>
      </c>
      <c r="E8" s="19" t="s">
        <v>54</v>
      </c>
      <c r="F8" s="25" t="n">
        <v>3</v>
      </c>
      <c r="G8" s="19" t="s">
        <v>163</v>
      </c>
      <c r="H8" s="32"/>
      <c r="I8" s="23" t="n">
        <f aca="false">IF(ISNUMBER(H8),H8,IF(G8&lt;&gt;"",IFERROR(INDEX(Прайс!$G$5:$G$150,MATCH(G8,Прайс!$A$5:$A$150,0)),""),""))</f>
        <v>350000</v>
      </c>
      <c r="J8" s="24" t="n">
        <f aca="false">IF(AND(ISNUMBER(F8),ISNUMBER(I8)),F8*I8,"")</f>
        <v>1050000</v>
      </c>
      <c r="K8" s="19" t="s">
        <v>546</v>
      </c>
      <c r="L8" s="20"/>
    </row>
    <row r="9" customFormat="false" ht="15" hidden="false" customHeight="true" outlineLevel="0" collapsed="false">
      <c r="A9" s="19" t="n">
        <v>5</v>
      </c>
      <c r="B9" s="19" t="s">
        <v>8</v>
      </c>
      <c r="C9" s="20" t="s">
        <v>74</v>
      </c>
      <c r="D9" s="20" t="s">
        <v>781</v>
      </c>
      <c r="E9" s="19" t="s">
        <v>54</v>
      </c>
      <c r="F9" s="25" t="n">
        <v>1</v>
      </c>
      <c r="G9" s="19" t="s">
        <v>73</v>
      </c>
      <c r="H9" s="32"/>
      <c r="I9" s="23" t="n">
        <f aca="false">IF(ISNUMBER(H9),H9,IF(G9&lt;&gt;"",IFERROR(INDEX(Прайс!$G$5:$G$150,MATCH(G9,Прайс!$A$5:$A$150,0)),""),""))</f>
        <v>2500000</v>
      </c>
      <c r="J9" s="24" t="n">
        <f aca="false">IF(AND(ISNUMBER(F9),ISNUMBER(I9)),F9*I9,"")</f>
        <v>2500000</v>
      </c>
      <c r="K9" s="19" t="s">
        <v>746</v>
      </c>
      <c r="L9" s="20" t="s">
        <v>782</v>
      </c>
    </row>
    <row r="10" customFormat="false" ht="15" hidden="false" customHeight="true" outlineLevel="0" collapsed="false">
      <c r="A10" s="19" t="n">
        <v>6</v>
      </c>
      <c r="B10" s="19" t="s">
        <v>8</v>
      </c>
      <c r="C10" s="20" t="s">
        <v>76</v>
      </c>
      <c r="D10" s="20"/>
      <c r="E10" s="19" t="s">
        <v>54</v>
      </c>
      <c r="F10" s="25" t="n">
        <v>1</v>
      </c>
      <c r="G10" s="19" t="s">
        <v>75</v>
      </c>
      <c r="H10" s="32"/>
      <c r="I10" s="23" t="n">
        <f aca="false">IF(ISNUMBER(H10),H10,IF(G10&lt;&gt;"",IFERROR(INDEX(Прайс!$G$5:$G$150,MATCH(G10,Прайс!$A$5:$A$150,0)),""),""))</f>
        <v>3000000</v>
      </c>
      <c r="J10" s="24" t="n">
        <f aca="false">IF(AND(ISNUMBER(F10),ISNUMBER(I10)),F10*I10,"")</f>
        <v>3000000</v>
      </c>
      <c r="K10" s="19" t="s">
        <v>746</v>
      </c>
      <c r="L10" s="20"/>
    </row>
    <row r="11" customFormat="false" ht="15" hidden="false" customHeight="true" outlineLevel="0" collapsed="false">
      <c r="A11" s="19" t="n">
        <v>7</v>
      </c>
      <c r="B11" s="19" t="s">
        <v>8</v>
      </c>
      <c r="C11" s="20" t="s">
        <v>79</v>
      </c>
      <c r="D11" s="20"/>
      <c r="E11" s="19" t="s">
        <v>54</v>
      </c>
      <c r="F11" s="25" t="n">
        <v>1</v>
      </c>
      <c r="G11" s="19" t="s">
        <v>78</v>
      </c>
      <c r="H11" s="32"/>
      <c r="I11" s="23" t="n">
        <f aca="false">IF(ISNUMBER(H11),H11,IF(G11&lt;&gt;"",IFERROR(INDEX(Прайс!$G$5:$G$150,MATCH(G11,Прайс!$A$5:$A$150,0)),""),""))</f>
        <v>700000</v>
      </c>
      <c r="J11" s="24" t="n">
        <f aca="false">IF(AND(ISNUMBER(F11),ISNUMBER(I11)),F11*I11,"")</f>
        <v>700000</v>
      </c>
      <c r="K11" s="19" t="s">
        <v>746</v>
      </c>
      <c r="L11" s="20"/>
    </row>
    <row r="12" customFormat="false" ht="15" hidden="false" customHeight="true" outlineLevel="0" collapsed="false">
      <c r="A12" s="19" t="n">
        <v>8</v>
      </c>
      <c r="B12" s="19" t="s">
        <v>8</v>
      </c>
      <c r="C12" s="20" t="s">
        <v>72</v>
      </c>
      <c r="D12" s="20"/>
      <c r="E12" s="19" t="s">
        <v>54</v>
      </c>
      <c r="F12" s="25" t="n">
        <v>1</v>
      </c>
      <c r="G12" s="19" t="s">
        <v>71</v>
      </c>
      <c r="H12" s="32"/>
      <c r="I12" s="23" t="n">
        <f aca="false">IF(ISNUMBER(H12),H12,IF(G12&lt;&gt;"",IFERROR(INDEX(Прайс!$G$5:$G$150,MATCH(G12,Прайс!$A$5:$A$150,0)),""),""))</f>
        <v>900000</v>
      </c>
      <c r="J12" s="24" t="n">
        <f aca="false">IF(AND(ISNUMBER(F12),ISNUMBER(I12)),F12*I12,"")</f>
        <v>900000</v>
      </c>
      <c r="K12" s="19" t="s">
        <v>746</v>
      </c>
      <c r="L12" s="20"/>
    </row>
    <row r="13" customFormat="false" ht="15" hidden="false" customHeight="true" outlineLevel="0" collapsed="false">
      <c r="A13" s="19" t="n">
        <v>9</v>
      </c>
      <c r="B13" s="19" t="s">
        <v>8</v>
      </c>
      <c r="C13" s="20" t="s">
        <v>66</v>
      </c>
      <c r="D13" s="20"/>
      <c r="E13" s="19" t="s">
        <v>54</v>
      </c>
      <c r="F13" s="25" t="n">
        <v>1</v>
      </c>
      <c r="G13" s="19" t="s">
        <v>65</v>
      </c>
      <c r="H13" s="32"/>
      <c r="I13" s="23" t="n">
        <f aca="false">IF(ISNUMBER(H13),H13,IF(G13&lt;&gt;"",IFERROR(INDEX(Прайс!$G$5:$G$150,MATCH(G13,Прайс!$A$5:$A$150,0)),""),""))</f>
        <v>1300000</v>
      </c>
      <c r="J13" s="24" t="n">
        <f aca="false">IF(AND(ISNUMBER(F13),ISNUMBER(I13)),F13*I13,"")</f>
        <v>1300000</v>
      </c>
      <c r="K13" s="19" t="s">
        <v>746</v>
      </c>
      <c r="L13" s="20"/>
    </row>
    <row r="14" customFormat="false" ht="15" hidden="false" customHeight="true" outlineLevel="0" collapsed="false">
      <c r="A14" s="19" t="n">
        <v>10</v>
      </c>
      <c r="B14" s="19" t="s">
        <v>8</v>
      </c>
      <c r="C14" s="20" t="s">
        <v>699</v>
      </c>
      <c r="D14" s="20"/>
      <c r="E14" s="19" t="s">
        <v>54</v>
      </c>
      <c r="F14" s="25" t="n">
        <v>1</v>
      </c>
      <c r="G14" s="19" t="s">
        <v>56</v>
      </c>
      <c r="H14" s="32"/>
      <c r="I14" s="23" t="n">
        <f aca="false">IF(ISNUMBER(H14),H14,IF(G14&lt;&gt;"",IFERROR(INDEX(Прайс!$G$5:$G$150,MATCH(G14,Прайс!$A$5:$A$150,0)),""),""))</f>
        <v>900000</v>
      </c>
      <c r="J14" s="24" t="n">
        <f aca="false">IF(AND(ISNUMBER(F14),ISNUMBER(I14)),F14*I14,"")</f>
        <v>900000</v>
      </c>
      <c r="K14" s="19" t="s">
        <v>746</v>
      </c>
      <c r="L14" s="20"/>
    </row>
    <row r="15" customFormat="false" ht="34.5" hidden="false" customHeight="true" outlineLevel="0" collapsed="false">
      <c r="A15" s="19" t="n">
        <v>11</v>
      </c>
      <c r="B15" s="19" t="s">
        <v>13</v>
      </c>
      <c r="C15" s="20" t="s">
        <v>783</v>
      </c>
      <c r="D15" s="20" t="s">
        <v>784</v>
      </c>
      <c r="E15" s="19" t="s">
        <v>54</v>
      </c>
      <c r="F15" s="25" t="n">
        <v>147</v>
      </c>
      <c r="G15" s="19" t="s">
        <v>170</v>
      </c>
      <c r="H15" s="32"/>
      <c r="I15" s="23" t="n">
        <f aca="false">IF(ISNUMBER(H15),H15,IF(G15&lt;&gt;"",IFERROR(INDEX(Прайс!$G$5:$G$150,MATCH(G15,Прайс!$A$5:$A$150,0)),""),""))</f>
        <v>395000</v>
      </c>
      <c r="J15" s="24" t="n">
        <f aca="false">IF(AND(ISNUMBER(F15),ISNUMBER(I15)),F15*I15,"")</f>
        <v>58065000</v>
      </c>
      <c r="K15" s="19" t="s">
        <v>785</v>
      </c>
      <c r="L15" s="20" t="s">
        <v>786</v>
      </c>
    </row>
    <row r="16" customFormat="false" ht="23.25" hidden="false" customHeight="true" outlineLevel="0" collapsed="false">
      <c r="A16" s="19" t="n">
        <v>12</v>
      </c>
      <c r="B16" s="19" t="s">
        <v>11</v>
      </c>
      <c r="C16" s="20" t="s">
        <v>444</v>
      </c>
      <c r="D16" s="20"/>
      <c r="E16" s="19" t="s">
        <v>54</v>
      </c>
      <c r="F16" s="25" t="n">
        <v>111</v>
      </c>
      <c r="G16" s="19" t="s">
        <v>140</v>
      </c>
      <c r="H16" s="32"/>
      <c r="I16" s="23" t="n">
        <f aca="false">IF(ISNUMBER(H16),H16,IF(G16&lt;&gt;"",IFERROR(INDEX(Прайс!$G$5:$G$150,MATCH(G16,Прайс!$A$5:$A$150,0)),""),""))</f>
        <v>65000</v>
      </c>
      <c r="J16" s="24" t="n">
        <f aca="false">IF(AND(ISNUMBER(F16),ISNUMBER(I16)),F16*I16,"")</f>
        <v>7215000</v>
      </c>
      <c r="K16" s="19" t="s">
        <v>785</v>
      </c>
      <c r="L16" s="20" t="s">
        <v>787</v>
      </c>
    </row>
    <row r="17" customFormat="false" ht="23.25" hidden="false" customHeight="true" outlineLevel="0" collapsed="false">
      <c r="A17" s="19" t="n">
        <v>13</v>
      </c>
      <c r="B17" s="19" t="s">
        <v>11</v>
      </c>
      <c r="C17" s="20" t="s">
        <v>135</v>
      </c>
      <c r="D17" s="20"/>
      <c r="E17" s="19" t="s">
        <v>54</v>
      </c>
      <c r="F17" s="25" t="n">
        <v>9</v>
      </c>
      <c r="G17" s="19" t="s">
        <v>134</v>
      </c>
      <c r="H17" s="32"/>
      <c r="I17" s="23" t="n">
        <f aca="false">IF(ISNUMBER(H17),H17,IF(G17&lt;&gt;"",IFERROR(INDEX(Прайс!$G$5:$G$150,MATCH(G17,Прайс!$A$5:$A$150,0)),""),""))</f>
        <v>55000</v>
      </c>
      <c r="J17" s="24" t="n">
        <f aca="false">IF(AND(ISNUMBER(F17),ISNUMBER(I17)),F17*I17,"")</f>
        <v>495000</v>
      </c>
      <c r="K17" s="19" t="s">
        <v>785</v>
      </c>
      <c r="L17" s="20" t="s">
        <v>788</v>
      </c>
    </row>
    <row r="18" customFormat="false" ht="23.25" hidden="false" customHeight="true" outlineLevel="0" collapsed="false">
      <c r="A18" s="19" t="n">
        <v>14</v>
      </c>
      <c r="B18" s="19" t="s">
        <v>11</v>
      </c>
      <c r="C18" s="20" t="s">
        <v>138</v>
      </c>
      <c r="D18" s="20"/>
      <c r="E18" s="19" t="s">
        <v>54</v>
      </c>
      <c r="F18" s="25" t="n">
        <v>32</v>
      </c>
      <c r="G18" s="19" t="s">
        <v>137</v>
      </c>
      <c r="H18" s="32"/>
      <c r="I18" s="23" t="n">
        <f aca="false">IF(ISNUMBER(H18),H18,IF(G18&lt;&gt;"",IFERROR(INDEX(Прайс!$G$5:$G$150,MATCH(G18,Прайс!$A$5:$A$150,0)),""),""))</f>
        <v>80000</v>
      </c>
      <c r="J18" s="24" t="n">
        <f aca="false">IF(AND(ISNUMBER(F18),ISNUMBER(I18)),F18*I18,"")</f>
        <v>2560000</v>
      </c>
      <c r="K18" s="19" t="s">
        <v>785</v>
      </c>
      <c r="L18" s="20" t="s">
        <v>789</v>
      </c>
    </row>
    <row r="19" customFormat="false" ht="23.25" hidden="false" customHeight="true" outlineLevel="0" collapsed="false">
      <c r="A19" s="19" t="n">
        <v>15</v>
      </c>
      <c r="B19" s="19" t="s">
        <v>11</v>
      </c>
      <c r="C19" s="20" t="s">
        <v>144</v>
      </c>
      <c r="D19" s="20"/>
      <c r="E19" s="19" t="s">
        <v>54</v>
      </c>
      <c r="F19" s="25" t="n">
        <v>11</v>
      </c>
      <c r="G19" s="19" t="s">
        <v>143</v>
      </c>
      <c r="H19" s="32"/>
      <c r="I19" s="23" t="n">
        <f aca="false">IF(ISNUMBER(H19),H19,IF(G19&lt;&gt;"",IFERROR(INDEX(Прайс!$G$5:$G$150,MATCH(G19,Прайс!$A$5:$A$150,0)),""),""))</f>
        <v>25000</v>
      </c>
      <c r="J19" s="24" t="n">
        <f aca="false">IF(AND(ISNUMBER(F19),ISNUMBER(I19)),F19*I19,"")</f>
        <v>275000</v>
      </c>
      <c r="K19" s="19" t="s">
        <v>785</v>
      </c>
      <c r="L19" s="20" t="s">
        <v>790</v>
      </c>
    </row>
    <row r="20" customFormat="false" ht="23.25" hidden="false" customHeight="true" outlineLevel="0" collapsed="false">
      <c r="A20" s="19" t="n">
        <v>16</v>
      </c>
      <c r="B20" s="19" t="s">
        <v>11</v>
      </c>
      <c r="C20" s="20" t="s">
        <v>147</v>
      </c>
      <c r="D20" s="20"/>
      <c r="E20" s="19" t="s">
        <v>54</v>
      </c>
      <c r="F20" s="25" t="n">
        <v>12</v>
      </c>
      <c r="G20" s="19" t="s">
        <v>146</v>
      </c>
      <c r="H20" s="32"/>
      <c r="I20" s="23" t="n">
        <f aca="false">IF(ISNUMBER(H20),H20,IF(G20&lt;&gt;"",IFERROR(INDEX(Прайс!$G$5:$G$150,MATCH(G20,Прайс!$A$5:$A$150,0)),""),""))</f>
        <v>45000</v>
      </c>
      <c r="J20" s="24" t="n">
        <f aca="false">IF(AND(ISNUMBER(F20),ISNUMBER(I20)),F20*I20,"")</f>
        <v>540000</v>
      </c>
      <c r="K20" s="19" t="s">
        <v>785</v>
      </c>
      <c r="L20" s="20" t="s">
        <v>791</v>
      </c>
    </row>
    <row r="21" customFormat="false" ht="23.25" hidden="false" customHeight="true" outlineLevel="0" collapsed="false">
      <c r="A21" s="19" t="n">
        <v>17</v>
      </c>
      <c r="B21" s="19" t="s">
        <v>11</v>
      </c>
      <c r="C21" s="20" t="s">
        <v>149</v>
      </c>
      <c r="D21" s="20"/>
      <c r="E21" s="19" t="s">
        <v>54</v>
      </c>
      <c r="F21" s="25" t="n">
        <v>9</v>
      </c>
      <c r="G21" s="19" t="s">
        <v>148</v>
      </c>
      <c r="H21" s="32"/>
      <c r="I21" s="23" t="n">
        <f aca="false">IF(ISNUMBER(H21),H21,IF(G21&lt;&gt;"",IFERROR(INDEX(Прайс!$G$5:$G$150,MATCH(G21,Прайс!$A$5:$A$150,0)),""),""))</f>
        <v>65000</v>
      </c>
      <c r="J21" s="24" t="n">
        <f aca="false">IF(AND(ISNUMBER(F21),ISNUMBER(I21)),F21*I21,"")</f>
        <v>585000</v>
      </c>
      <c r="K21" s="19" t="s">
        <v>785</v>
      </c>
      <c r="L21" s="20" t="s">
        <v>788</v>
      </c>
    </row>
    <row r="22" customFormat="false" ht="23.25" hidden="false" customHeight="true" outlineLevel="0" collapsed="false">
      <c r="A22" s="19" t="n">
        <v>18</v>
      </c>
      <c r="B22" s="19" t="s">
        <v>11</v>
      </c>
      <c r="C22" s="20" t="s">
        <v>151</v>
      </c>
      <c r="D22" s="20"/>
      <c r="E22" s="19" t="s">
        <v>54</v>
      </c>
      <c r="F22" s="25" t="n">
        <v>13</v>
      </c>
      <c r="G22" s="19" t="s">
        <v>150</v>
      </c>
      <c r="H22" s="32"/>
      <c r="I22" s="23" t="n">
        <f aca="false">IF(ISNUMBER(H22),H22,IF(G22&lt;&gt;"",IFERROR(INDEX(Прайс!$G$5:$G$150,MATCH(G22,Прайс!$A$5:$A$150,0)),""),""))</f>
        <v>85000</v>
      </c>
      <c r="J22" s="24" t="n">
        <f aca="false">IF(AND(ISNUMBER(F22),ISNUMBER(I22)),F22*I22,"")</f>
        <v>1105000</v>
      </c>
      <c r="K22" s="19" t="s">
        <v>785</v>
      </c>
      <c r="L22" s="20" t="s">
        <v>792</v>
      </c>
    </row>
    <row r="23" customFormat="false" ht="23.25" hidden="false" customHeight="true" outlineLevel="0" collapsed="false">
      <c r="A23" s="19" t="n">
        <v>19</v>
      </c>
      <c r="B23" s="19" t="s">
        <v>11</v>
      </c>
      <c r="C23" s="20" t="s">
        <v>153</v>
      </c>
      <c r="D23" s="20"/>
      <c r="E23" s="19" t="s">
        <v>54</v>
      </c>
      <c r="F23" s="25" t="n">
        <v>5</v>
      </c>
      <c r="G23" s="19" t="s">
        <v>152</v>
      </c>
      <c r="H23" s="32"/>
      <c r="I23" s="23" t="n">
        <f aca="false">IF(ISNUMBER(H23),H23,IF(G23&lt;&gt;"",IFERROR(INDEX(Прайс!$G$5:$G$150,MATCH(G23,Прайс!$A$5:$A$150,0)),""),""))</f>
        <v>105000</v>
      </c>
      <c r="J23" s="24" t="n">
        <f aca="false">IF(AND(ISNUMBER(F23),ISNUMBER(I23)),F23*I23,"")</f>
        <v>525000</v>
      </c>
      <c r="K23" s="19" t="s">
        <v>785</v>
      </c>
      <c r="L23" s="20" t="s">
        <v>793</v>
      </c>
    </row>
    <row r="24" customFormat="false" ht="23.25" hidden="false" customHeight="true" outlineLevel="0" collapsed="false">
      <c r="A24" s="19" t="n">
        <v>20</v>
      </c>
      <c r="B24" s="19" t="s">
        <v>11</v>
      </c>
      <c r="C24" s="20" t="s">
        <v>717</v>
      </c>
      <c r="D24" s="20"/>
      <c r="E24" s="19" t="s">
        <v>54</v>
      </c>
      <c r="F24" s="25" t="n">
        <v>10</v>
      </c>
      <c r="G24" s="19" t="s">
        <v>156</v>
      </c>
      <c r="H24" s="32"/>
      <c r="I24" s="23" t="n">
        <f aca="false">IF(ISNUMBER(H24),H24,IF(G24&lt;&gt;"",IFERROR(INDEX(Прайс!$G$5:$G$150,MATCH(G24,Прайс!$A$5:$A$150,0)),""),""))</f>
        <v>120000</v>
      </c>
      <c r="J24" s="24" t="n">
        <f aca="false">IF(AND(ISNUMBER(F24),ISNUMBER(I24)),F24*I24,"")</f>
        <v>1200000</v>
      </c>
      <c r="K24" s="19" t="s">
        <v>785</v>
      </c>
      <c r="L24" s="20" t="s">
        <v>794</v>
      </c>
    </row>
    <row r="25" customFormat="false" ht="23.25" hidden="false" customHeight="true" outlineLevel="0" collapsed="false">
      <c r="A25" s="19" t="n">
        <v>21</v>
      </c>
      <c r="B25" s="19" t="s">
        <v>11</v>
      </c>
      <c r="C25" s="20" t="s">
        <v>160</v>
      </c>
      <c r="D25" s="20"/>
      <c r="E25" s="19" t="s">
        <v>54</v>
      </c>
      <c r="F25" s="25" t="n">
        <v>3</v>
      </c>
      <c r="G25" s="19" t="s">
        <v>159</v>
      </c>
      <c r="H25" s="32"/>
      <c r="I25" s="23" t="n">
        <f aca="false">IF(ISNUMBER(H25),H25,IF(G25&lt;&gt;"",IFERROR(INDEX(Прайс!$G$5:$G$150,MATCH(G25,Прайс!$A$5:$A$150,0)),""),""))</f>
        <v>400000</v>
      </c>
      <c r="J25" s="24" t="n">
        <f aca="false">IF(AND(ISNUMBER(F25),ISNUMBER(I25)),F25*I25,"")</f>
        <v>1200000</v>
      </c>
      <c r="K25" s="19" t="s">
        <v>785</v>
      </c>
      <c r="L25" s="20" t="s">
        <v>795</v>
      </c>
    </row>
    <row r="26" customFormat="false" ht="23.25" hidden="false" customHeight="true" outlineLevel="0" collapsed="false">
      <c r="A26" s="19" t="n">
        <v>22</v>
      </c>
      <c r="B26" s="19" t="s">
        <v>9</v>
      </c>
      <c r="C26" s="20" t="s">
        <v>91</v>
      </c>
      <c r="D26" s="20"/>
      <c r="E26" s="19" t="s">
        <v>54</v>
      </c>
      <c r="F26" s="25" t="n">
        <v>106</v>
      </c>
      <c r="G26" s="19" t="s">
        <v>90</v>
      </c>
      <c r="H26" s="32"/>
      <c r="I26" s="23" t="n">
        <f aca="false">IF(ISNUMBER(H26),H26,IF(G26&lt;&gt;"",IFERROR(INDEX(Прайс!$G$5:$G$150,MATCH(G26,Прайс!$A$5:$A$150,0)),""),""))</f>
        <v>100000</v>
      </c>
      <c r="J26" s="24" t="n">
        <f aca="false">IF(AND(ISNUMBER(F26),ISNUMBER(I26)),F26*I26,"")</f>
        <v>10600000</v>
      </c>
      <c r="K26" s="19" t="s">
        <v>785</v>
      </c>
      <c r="L26" s="20" t="s">
        <v>796</v>
      </c>
    </row>
    <row r="27" customFormat="false" ht="23.25" hidden="false" customHeight="true" outlineLevel="0" collapsed="false">
      <c r="A27" s="19" t="n">
        <v>23</v>
      </c>
      <c r="B27" s="19" t="s">
        <v>9</v>
      </c>
      <c r="C27" s="20" t="s">
        <v>404</v>
      </c>
      <c r="D27" s="20"/>
      <c r="E27" s="19" t="s">
        <v>102</v>
      </c>
      <c r="F27" s="25" t="n">
        <v>69</v>
      </c>
      <c r="G27" s="19" t="s">
        <v>100</v>
      </c>
      <c r="H27" s="32"/>
      <c r="I27" s="23" t="n">
        <f aca="false">IF(ISNUMBER(H27),H27,IF(G27&lt;&gt;"",IFERROR(INDEX(Прайс!$G$5:$G$150,MATCH(G27,Прайс!$A$5:$A$150,0)),""),""))</f>
        <v>85000</v>
      </c>
      <c r="J27" s="24" t="n">
        <f aca="false">IF(AND(ISNUMBER(F27),ISNUMBER(I27)),F27*I27,"")</f>
        <v>5865000</v>
      </c>
      <c r="K27" s="19" t="s">
        <v>785</v>
      </c>
      <c r="L27" s="20" t="s">
        <v>797</v>
      </c>
    </row>
    <row r="28" customFormat="false" ht="23.25" hidden="false" customHeight="true" outlineLevel="0" collapsed="false">
      <c r="A28" s="19" t="n">
        <v>24</v>
      </c>
      <c r="B28" s="19" t="s">
        <v>9</v>
      </c>
      <c r="C28" s="20" t="s">
        <v>536</v>
      </c>
      <c r="D28" s="20"/>
      <c r="E28" s="19" t="s">
        <v>54</v>
      </c>
      <c r="F28" s="25" t="n">
        <v>53</v>
      </c>
      <c r="G28" s="19" t="s">
        <v>104</v>
      </c>
      <c r="H28" s="32"/>
      <c r="I28" s="23" t="n">
        <f aca="false">IF(ISNUMBER(H28),H28,IF(G28&lt;&gt;"",IFERROR(INDEX(Прайс!$G$5:$G$150,MATCH(G28,Прайс!$A$5:$A$150,0)),""),""))</f>
        <v>35000</v>
      </c>
      <c r="J28" s="24" t="n">
        <f aca="false">IF(AND(ISNUMBER(F28),ISNUMBER(I28)),F28*I28,"")</f>
        <v>1855000</v>
      </c>
      <c r="K28" s="19" t="s">
        <v>785</v>
      </c>
      <c r="L28" s="20" t="s">
        <v>798</v>
      </c>
    </row>
    <row r="29" customFormat="false" ht="23.25" hidden="false" customHeight="true" outlineLevel="0" collapsed="false">
      <c r="A29" s="19" t="n">
        <v>25</v>
      </c>
      <c r="B29" s="19" t="s">
        <v>9</v>
      </c>
      <c r="C29" s="20" t="s">
        <v>107</v>
      </c>
      <c r="D29" s="20"/>
      <c r="E29" s="19" t="s">
        <v>54</v>
      </c>
      <c r="F29" s="25" t="n">
        <v>9</v>
      </c>
      <c r="G29" s="19" t="s">
        <v>106</v>
      </c>
      <c r="H29" s="32"/>
      <c r="I29" s="23" t="n">
        <f aca="false">IF(ISNUMBER(H29),H29,IF(G29&lt;&gt;"",IFERROR(INDEX(Прайс!$G$5:$G$150,MATCH(G29,Прайс!$A$5:$A$150,0)),""),""))</f>
        <v>200000</v>
      </c>
      <c r="J29" s="24" t="n">
        <f aca="false">IF(AND(ISNUMBER(F29),ISNUMBER(I29)),F29*I29,"")</f>
        <v>1800000</v>
      </c>
      <c r="K29" s="19" t="s">
        <v>785</v>
      </c>
      <c r="L29" s="20" t="s">
        <v>788</v>
      </c>
    </row>
    <row r="30" customFormat="false" ht="23.25" hidden="false" customHeight="true" outlineLevel="0" collapsed="false">
      <c r="A30" s="19" t="n">
        <v>26</v>
      </c>
      <c r="B30" s="19" t="s">
        <v>9</v>
      </c>
      <c r="C30" s="20" t="s">
        <v>538</v>
      </c>
      <c r="D30" s="20"/>
      <c r="E30" s="19" t="s">
        <v>54</v>
      </c>
      <c r="F30" s="25" t="n">
        <v>21</v>
      </c>
      <c r="G30" s="19" t="s">
        <v>114</v>
      </c>
      <c r="H30" s="32"/>
      <c r="I30" s="23" t="n">
        <f aca="false">IF(ISNUMBER(H30),H30,IF(G30&lt;&gt;"",IFERROR(INDEX(Прайс!$G$5:$G$150,MATCH(G30,Прайс!$A$5:$A$150,0)),""),""))</f>
        <v>40000</v>
      </c>
      <c r="J30" s="24" t="n">
        <f aca="false">IF(AND(ISNUMBER(F30),ISNUMBER(I30)),F30*I30,"")</f>
        <v>840000</v>
      </c>
      <c r="K30" s="19" t="s">
        <v>785</v>
      </c>
      <c r="L30" s="20" t="s">
        <v>799</v>
      </c>
    </row>
    <row r="31" customFormat="false" ht="23.25" hidden="false" customHeight="true" outlineLevel="0" collapsed="false">
      <c r="A31" s="19" t="n">
        <v>27</v>
      </c>
      <c r="B31" s="19" t="s">
        <v>10</v>
      </c>
      <c r="C31" s="20" t="s">
        <v>766</v>
      </c>
      <c r="D31" s="20" t="s">
        <v>767</v>
      </c>
      <c r="E31" s="19" t="s">
        <v>102</v>
      </c>
      <c r="F31" s="25" t="n">
        <v>107</v>
      </c>
      <c r="G31" s="19" t="s">
        <v>127</v>
      </c>
      <c r="H31" s="32"/>
      <c r="I31" s="23" t="n">
        <f aca="false">IF(ISNUMBER(H31),H31,IF(G31&lt;&gt;"",IFERROR(INDEX(Прайс!$G$5:$G$150,MATCH(G31,Прайс!$A$5:$A$150,0)),""),""))</f>
        <v>220000</v>
      </c>
      <c r="J31" s="24" t="n">
        <f aca="false">IF(AND(ISNUMBER(F31),ISNUMBER(I31)),F31*I31,"")</f>
        <v>23540000</v>
      </c>
      <c r="K31" s="19" t="s">
        <v>785</v>
      </c>
      <c r="L31" s="20" t="s">
        <v>800</v>
      </c>
    </row>
    <row r="32" customFormat="false" ht="23.25" hidden="false" customHeight="true" outlineLevel="0" collapsed="false">
      <c r="A32" s="19" t="n">
        <v>28</v>
      </c>
      <c r="B32" s="19" t="s">
        <v>14</v>
      </c>
      <c r="C32" s="20" t="s">
        <v>475</v>
      </c>
      <c r="D32" s="20" t="s">
        <v>476</v>
      </c>
      <c r="E32" s="19" t="s">
        <v>168</v>
      </c>
      <c r="F32" s="25" t="n">
        <v>304</v>
      </c>
      <c r="G32" s="19" t="s">
        <v>179</v>
      </c>
      <c r="H32" s="32"/>
      <c r="I32" s="23" t="n">
        <f aca="false">IF(ISNUMBER(H32),H32,IF(G32&lt;&gt;"",IFERROR(INDEX(Прайс!$G$5:$G$150,MATCH(G32,Прайс!$A$5:$A$150,0)),""),""))</f>
        <v>25000</v>
      </c>
      <c r="J32" s="24" t="n">
        <f aca="false">IF(AND(ISNUMBER(F32),ISNUMBER(I32)),F32*I32,"")</f>
        <v>7600000</v>
      </c>
      <c r="K32" s="19" t="s">
        <v>785</v>
      </c>
      <c r="L32" s="20" t="s">
        <v>801</v>
      </c>
    </row>
    <row r="33" customFormat="false" ht="23.25" hidden="false" customHeight="true" outlineLevel="0" collapsed="false">
      <c r="A33" s="19" t="n">
        <v>29</v>
      </c>
      <c r="B33" s="19" t="s">
        <v>14</v>
      </c>
      <c r="C33" s="20" t="s">
        <v>478</v>
      </c>
      <c r="D33" s="20" t="s">
        <v>476</v>
      </c>
      <c r="E33" s="19" t="s">
        <v>168</v>
      </c>
      <c r="F33" s="25" t="n">
        <v>367</v>
      </c>
      <c r="G33" s="19" t="s">
        <v>182</v>
      </c>
      <c r="H33" s="32"/>
      <c r="I33" s="23" t="n">
        <f aca="false">IF(ISNUMBER(H33),H33,IF(G33&lt;&gt;"",IFERROR(INDEX(Прайс!$G$5:$G$150,MATCH(G33,Прайс!$A$5:$A$150,0)),""),""))</f>
        <v>32000</v>
      </c>
      <c r="J33" s="24" t="n">
        <f aca="false">IF(AND(ISNUMBER(F33),ISNUMBER(I33)),F33*I33,"")</f>
        <v>11744000</v>
      </c>
      <c r="K33" s="19" t="s">
        <v>785</v>
      </c>
      <c r="L33" s="20" t="s">
        <v>802</v>
      </c>
    </row>
    <row r="34" customFormat="false" ht="15" hidden="false" customHeight="true" outlineLevel="0" collapsed="false">
      <c r="A34" s="49"/>
      <c r="B34" s="49"/>
      <c r="C34" s="49"/>
      <c r="D34" s="49"/>
      <c r="E34" s="49"/>
      <c r="F34" s="49"/>
      <c r="G34" s="49"/>
      <c r="H34" s="49"/>
      <c r="I34" s="50" t="s">
        <v>7</v>
      </c>
      <c r="J34" s="51" t="n">
        <f aca="false">SUM(J5:J33)</f>
        <v>452912500</v>
      </c>
      <c r="K34" s="49"/>
      <c r="L34" s="49"/>
    </row>
    <row r="35" customFormat="false" ht="15" hidden="false" customHeight="true" outlineLevel="0" collapsed="false">
      <c r="I35" s="3" t="s">
        <v>576</v>
      </c>
      <c r="J35" s="3" t="n">
        <f aca="false">COUNTBLANK(I5:I33)</f>
        <v>0</v>
      </c>
    </row>
    <row r="36" customFormat="false" ht="15" hidden="false" customHeight="true" outlineLevel="0" collapsed="false">
      <c r="I36" s="3" t="s">
        <v>577</v>
      </c>
      <c r="J36" s="3" t="n">
        <f aca="false">COUNTIF(F5:F33,"~?")</f>
        <v>0</v>
      </c>
    </row>
  </sheetData>
  <autoFilter ref="A4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70"/>
    <col collapsed="false" customWidth="true" hidden="false" outlineLevel="0" max="4" min="4" style="1" width="32"/>
    <col collapsed="false" customWidth="true" hidden="false" outlineLevel="0" max="5" min="5" style="1" width="10"/>
  </cols>
  <sheetData>
    <row r="1" customFormat="false" ht="15.75" hidden="false" customHeight="true" outlineLevel="0" collapsed="false">
      <c r="A1" s="2" t="s">
        <v>803</v>
      </c>
    </row>
    <row r="3" customFormat="false" ht="30" hidden="false" customHeight="true" outlineLevel="0" collapsed="false">
      <c r="A3" s="4" t="s">
        <v>804</v>
      </c>
      <c r="B3" s="4" t="s">
        <v>2</v>
      </c>
      <c r="C3" s="4" t="s">
        <v>805</v>
      </c>
      <c r="D3" s="4" t="s">
        <v>806</v>
      </c>
      <c r="E3" s="4" t="s">
        <v>807</v>
      </c>
    </row>
    <row r="4" customFormat="false" ht="15" hidden="false" customHeight="true" outlineLevel="0" collapsed="false">
      <c r="A4" s="20" t="s">
        <v>27</v>
      </c>
      <c r="B4" s="20" t="s">
        <v>9</v>
      </c>
      <c r="C4" s="20" t="s">
        <v>808</v>
      </c>
      <c r="D4" s="20" t="s">
        <v>809</v>
      </c>
      <c r="E4" s="52"/>
    </row>
    <row r="5" customFormat="false" ht="15" hidden="false" customHeight="true" outlineLevel="0" collapsed="false">
      <c r="A5" s="20" t="s">
        <v>27</v>
      </c>
      <c r="B5" s="20" t="s">
        <v>609</v>
      </c>
      <c r="C5" s="20" t="s">
        <v>810</v>
      </c>
      <c r="D5" s="20" t="s">
        <v>811</v>
      </c>
      <c r="E5" s="52"/>
    </row>
    <row r="6" customFormat="false" ht="23.25" hidden="false" customHeight="true" outlineLevel="0" collapsed="false">
      <c r="A6" s="20" t="s">
        <v>27</v>
      </c>
      <c r="B6" s="20" t="s">
        <v>812</v>
      </c>
      <c r="C6" s="20" t="s">
        <v>813</v>
      </c>
      <c r="D6" s="20" t="s">
        <v>814</v>
      </c>
      <c r="E6" s="52" t="s">
        <v>815</v>
      </c>
    </row>
    <row r="7" customFormat="false" ht="23.25" hidden="false" customHeight="true" outlineLevel="0" collapsed="false">
      <c r="A7" s="20" t="s">
        <v>27</v>
      </c>
      <c r="B7" s="20" t="s">
        <v>14</v>
      </c>
      <c r="C7" s="20" t="s">
        <v>816</v>
      </c>
      <c r="D7" s="20" t="s">
        <v>817</v>
      </c>
      <c r="E7" s="52"/>
    </row>
    <row r="8" customFormat="false" ht="23.25" hidden="false" customHeight="true" outlineLevel="0" collapsed="false">
      <c r="A8" s="20" t="s">
        <v>28</v>
      </c>
      <c r="B8" s="20" t="s">
        <v>8</v>
      </c>
      <c r="C8" s="20" t="s">
        <v>818</v>
      </c>
      <c r="D8" s="20" t="s">
        <v>819</v>
      </c>
      <c r="E8" s="52"/>
    </row>
    <row r="9" customFormat="false" ht="15" hidden="false" customHeight="true" outlineLevel="0" collapsed="false">
      <c r="A9" s="20" t="s">
        <v>28</v>
      </c>
      <c r="B9" s="20" t="s">
        <v>11</v>
      </c>
      <c r="C9" s="20" t="s">
        <v>820</v>
      </c>
      <c r="D9" s="20" t="s">
        <v>821</v>
      </c>
      <c r="E9" s="52"/>
    </row>
    <row r="10" customFormat="false" ht="15" hidden="false" customHeight="true" outlineLevel="0" collapsed="false">
      <c r="A10" s="20" t="s">
        <v>28</v>
      </c>
      <c r="B10" s="20" t="s">
        <v>13</v>
      </c>
      <c r="C10" s="20" t="s">
        <v>822</v>
      </c>
      <c r="D10" s="20" t="s">
        <v>823</v>
      </c>
      <c r="E10" s="52"/>
    </row>
    <row r="11" customFormat="false" ht="15" hidden="false" customHeight="true" outlineLevel="0" collapsed="false">
      <c r="A11" s="20" t="s">
        <v>28</v>
      </c>
      <c r="B11" s="20" t="s">
        <v>624</v>
      </c>
      <c r="C11" s="20" t="s">
        <v>824</v>
      </c>
      <c r="D11" s="20" t="s">
        <v>825</v>
      </c>
      <c r="E11" s="52"/>
    </row>
    <row r="12" customFormat="false" ht="23.25" hidden="false" customHeight="true" outlineLevel="0" collapsed="false">
      <c r="A12" s="20" t="s">
        <v>29</v>
      </c>
      <c r="B12" s="20" t="s">
        <v>826</v>
      </c>
      <c r="C12" s="20" t="s">
        <v>827</v>
      </c>
      <c r="D12" s="20" t="s">
        <v>828</v>
      </c>
      <c r="E12" s="52"/>
    </row>
    <row r="13" customFormat="false" ht="15" hidden="false" customHeight="true" outlineLevel="0" collapsed="false">
      <c r="A13" s="20" t="s">
        <v>29</v>
      </c>
      <c r="B13" s="20" t="s">
        <v>13</v>
      </c>
      <c r="C13" s="20" t="s">
        <v>829</v>
      </c>
      <c r="D13" s="20" t="s">
        <v>823</v>
      </c>
      <c r="E13" s="52"/>
    </row>
    <row r="14" customFormat="false" ht="23.25" hidden="false" customHeight="true" outlineLevel="0" collapsed="false">
      <c r="A14" s="20" t="s">
        <v>6</v>
      </c>
      <c r="B14" s="20" t="s">
        <v>830</v>
      </c>
      <c r="C14" s="20" t="s">
        <v>831</v>
      </c>
      <c r="D14" s="20" t="s">
        <v>832</v>
      </c>
      <c r="E14" s="52"/>
    </row>
    <row r="15" customFormat="false" ht="15" hidden="false" customHeight="true" outlineLevel="0" collapsed="false">
      <c r="A15" s="20" t="s">
        <v>6</v>
      </c>
      <c r="B15" s="20" t="s">
        <v>12</v>
      </c>
      <c r="C15" s="20" t="s">
        <v>833</v>
      </c>
      <c r="D15" s="20" t="s">
        <v>834</v>
      </c>
      <c r="E15" s="52"/>
    </row>
    <row r="16" customFormat="false" ht="23.25" hidden="false" customHeight="true" outlineLevel="0" collapsed="false">
      <c r="A16" s="20" t="s">
        <v>835</v>
      </c>
      <c r="B16" s="20" t="s">
        <v>836</v>
      </c>
      <c r="C16" s="20" t="s">
        <v>837</v>
      </c>
      <c r="D16" s="20" t="s">
        <v>838</v>
      </c>
      <c r="E16" s="52"/>
    </row>
    <row r="17" customFormat="false" ht="23.25" hidden="false" customHeight="true" outlineLevel="0" collapsed="false">
      <c r="A17" s="20" t="s">
        <v>27</v>
      </c>
      <c r="B17" s="20" t="s">
        <v>20</v>
      </c>
      <c r="C17" s="20" t="s">
        <v>839</v>
      </c>
      <c r="D17" s="20" t="s">
        <v>840</v>
      </c>
    </row>
    <row r="18" customFormat="false" ht="23.25" hidden="false" customHeight="true" outlineLevel="0" collapsed="false">
      <c r="A18" s="20" t="s">
        <v>27</v>
      </c>
      <c r="B18" s="20" t="s">
        <v>8</v>
      </c>
      <c r="C18" s="20" t="s">
        <v>841</v>
      </c>
      <c r="D18" s="20" t="s">
        <v>842</v>
      </c>
    </row>
    <row r="19" customFormat="false" ht="23.25" hidden="false" customHeight="true" outlineLevel="0" collapsed="false">
      <c r="A19" s="20" t="s">
        <v>27</v>
      </c>
      <c r="B19" s="20" t="s">
        <v>11</v>
      </c>
      <c r="C19" s="20" t="s">
        <v>843</v>
      </c>
      <c r="D19" s="20" t="s">
        <v>844</v>
      </c>
    </row>
    <row r="20" customFormat="false" ht="23.25" hidden="false" customHeight="true" outlineLevel="0" collapsed="false">
      <c r="A20" s="20" t="s">
        <v>27</v>
      </c>
      <c r="B20" s="20" t="s">
        <v>11</v>
      </c>
      <c r="C20" s="20" t="s">
        <v>845</v>
      </c>
      <c r="D20" s="20" t="s">
        <v>846</v>
      </c>
    </row>
    <row r="21" customFormat="false" ht="23.25" hidden="false" customHeight="true" outlineLevel="0" collapsed="false">
      <c r="A21" s="20" t="s">
        <v>27</v>
      </c>
      <c r="B21" s="20" t="s">
        <v>21</v>
      </c>
      <c r="C21" s="20" t="s">
        <v>847</v>
      </c>
      <c r="D21" s="20" t="s">
        <v>848</v>
      </c>
    </row>
    <row r="22" customFormat="false" ht="23.25" hidden="false" customHeight="true" outlineLevel="0" collapsed="false">
      <c r="A22" s="20" t="s">
        <v>27</v>
      </c>
      <c r="B22" s="20" t="s">
        <v>9</v>
      </c>
      <c r="C22" s="20" t="s">
        <v>849</v>
      </c>
      <c r="D22" s="20" t="s">
        <v>850</v>
      </c>
    </row>
    <row r="23" customFormat="false" ht="23.25" hidden="false" customHeight="true" outlineLevel="0" collapsed="false">
      <c r="A23" s="20" t="s">
        <v>27</v>
      </c>
      <c r="B23" s="20" t="s">
        <v>624</v>
      </c>
      <c r="C23" s="20" t="s">
        <v>851</v>
      </c>
      <c r="D23" s="20" t="s">
        <v>823</v>
      </c>
    </row>
    <row r="24" customFormat="false" ht="23.25" hidden="false" customHeight="true" outlineLevel="0" collapsed="false">
      <c r="A24" s="20" t="s">
        <v>27</v>
      </c>
      <c r="B24" s="20" t="s">
        <v>24</v>
      </c>
      <c r="C24" s="20" t="s">
        <v>852</v>
      </c>
      <c r="D24" s="20" t="s">
        <v>823</v>
      </c>
    </row>
    <row r="25" customFormat="false" ht="23.25" hidden="false" customHeight="true" outlineLevel="0" collapsed="false">
      <c r="A25" s="20" t="s">
        <v>27</v>
      </c>
      <c r="B25" s="20" t="s">
        <v>13</v>
      </c>
      <c r="C25" s="20" t="s">
        <v>853</v>
      </c>
      <c r="D25" s="20" t="s">
        <v>597</v>
      </c>
    </row>
    <row r="26" customFormat="false" ht="23.25" hidden="false" customHeight="true" outlineLevel="0" collapsed="false">
      <c r="A26" s="20" t="s">
        <v>27</v>
      </c>
      <c r="B26" s="20" t="s">
        <v>672</v>
      </c>
      <c r="C26" s="20" t="s">
        <v>854</v>
      </c>
      <c r="D26" s="20" t="s">
        <v>855</v>
      </c>
    </row>
    <row r="27" customFormat="false" ht="23.85" hidden="false" customHeight="false" outlineLevel="0" collapsed="false">
      <c r="A27" s="20" t="s">
        <v>27</v>
      </c>
      <c r="B27" s="20" t="s">
        <v>11</v>
      </c>
      <c r="C27" s="20" t="s">
        <v>856</v>
      </c>
      <c r="D27" s="20" t="s">
        <v>857</v>
      </c>
    </row>
    <row r="28" customFormat="false" ht="35.05" hidden="false" customHeight="false" outlineLevel="0" collapsed="false">
      <c r="A28" s="20" t="s">
        <v>27</v>
      </c>
      <c r="B28" s="20" t="s">
        <v>11</v>
      </c>
      <c r="C28" s="20" t="s">
        <v>858</v>
      </c>
      <c r="D28" s="20" t="s">
        <v>859</v>
      </c>
    </row>
    <row r="29" customFormat="false" ht="23.85" hidden="false" customHeight="false" outlineLevel="0" collapsed="false">
      <c r="A29" s="20" t="s">
        <v>27</v>
      </c>
      <c r="B29" s="20" t="s">
        <v>11</v>
      </c>
      <c r="C29" s="20" t="s">
        <v>860</v>
      </c>
      <c r="D29" s="20" t="s">
        <v>861</v>
      </c>
    </row>
    <row r="30" customFormat="false" ht="23.85" hidden="false" customHeight="false" outlineLevel="0" collapsed="false">
      <c r="A30" s="20" t="s">
        <v>27</v>
      </c>
      <c r="B30" s="20" t="s">
        <v>11</v>
      </c>
      <c r="C30" s="20" t="s">
        <v>862</v>
      </c>
      <c r="D30" s="20" t="s">
        <v>859</v>
      </c>
    </row>
    <row r="31" customFormat="false" ht="23.85" hidden="false" customHeight="false" outlineLevel="0" collapsed="false">
      <c r="A31" s="20" t="s">
        <v>27</v>
      </c>
      <c r="B31" s="20" t="s">
        <v>20</v>
      </c>
      <c r="C31" s="20" t="s">
        <v>863</v>
      </c>
      <c r="D31" s="20" t="s">
        <v>864</v>
      </c>
    </row>
    <row r="32" customFormat="false" ht="23.85" hidden="false" customHeight="false" outlineLevel="0" collapsed="false">
      <c r="A32" s="20" t="s">
        <v>27</v>
      </c>
      <c r="B32" s="20" t="s">
        <v>20</v>
      </c>
      <c r="C32" s="20" t="s">
        <v>865</v>
      </c>
      <c r="D32" s="20" t="s">
        <v>866</v>
      </c>
    </row>
    <row r="33" customFormat="false" ht="23.85" hidden="false" customHeight="false" outlineLevel="0" collapsed="false">
      <c r="A33" s="20" t="s">
        <v>27</v>
      </c>
      <c r="B33" s="20" t="s">
        <v>20</v>
      </c>
      <c r="C33" s="20" t="s">
        <v>867</v>
      </c>
      <c r="D33" s="20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2026-09-07T08:59:18Z</dcterms:created>
  <dc:creator>openpyxl</dc:creator>
  <dc:description/>
  <dc:language>en-US</dc:language>
  <cp:lastModifiedBy/>
  <dcterms:modified xsi:type="dcterms:W3CDTF">2026-09-08T19:18:25Z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