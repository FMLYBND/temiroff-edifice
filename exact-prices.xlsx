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се точные" sheetId="2" state="visible" r:id="rId2"/>
    <sheet name="−1 Фитнес" sheetId="3" state="visible" r:id="rId3"/>
    <sheet name="1 Socials" sheetId="4" state="visible" r:id="rId4"/>
    <sheet name="2 Студия" sheetId="5" state="visible" r:id="rId5"/>
    <sheet name="3 Офис" sheetId="6" state="visible" r:id="rId6"/>
    <sheet name="Терраса" sheetId="7" state="visible" r:id="rId7"/>
    <sheet name="Фасад" sheetId="8" state="visible" r:id="rId8"/>
    <sheet name="Лифт" sheetId="9" state="visible" r:id="rId9"/>
  </sheets>
  <definedNames>
    <definedName name="_xlnm._FilterDatabase" localSheetId="0" hidden="1">'Сводка'!$A$5:$F$10</definedName>
    <definedName name="_xlnm.Print_Titles" localSheetId="0">'Сводка'!$1:$5</definedName>
    <definedName name="_xlnm._FilterDatabase" localSheetId="1" hidden="1">'Все точные'!$A$5:$L$190</definedName>
    <definedName name="_xlnm.Print_Titles" localSheetId="1">'Все точные'!$1:$5</definedName>
    <definedName name="_xlnm.Print_Titles" localSheetId="2">'−1 Фитнес'!$1:$5</definedName>
    <definedName name="_xlnm._FilterDatabase" localSheetId="3" hidden="1">'1 Socials'!$A$5:$J$5</definedName>
    <definedName name="_xlnm.Print_Titles" localSheetId="4">'2 Студия'!$1:$5</definedName>
    <definedName name="_xlnm.Print_Titles" localSheetId="5">'3 Офис'!$1:$5</definedName>
    <definedName name="_xlnm.Print_Titles" localSheetId="6">'Терраса'!$1:$5</definedName>
    <definedName name="_xlnm.Print_Titles" localSheetId="7">'Фасад'!$1:$5</definedName>
    <definedName name="_xlnm.Print_Titles" localSheetId="8">'Лифт'!$1:$5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6">
    <font>
      <name val="Calibri"/>
      <family val="2"/>
      <color theme="1"/>
      <sz val="11"/>
      <scheme val="minor"/>
    </font>
    <font>
      <name val="Calibri"/>
      <b val="1"/>
      <color rgb="001B3A2F"/>
      <sz val="16"/>
    </font>
    <font>
      <name val="Calibri"/>
      <color rgb="005C6B62"/>
      <sz val="11"/>
    </font>
    <font>
      <name val="Calibri"/>
      <i val="1"/>
      <color rgb="005C6B62"/>
      <sz val="9"/>
    </font>
    <font>
      <name val="Calibri"/>
      <b val="1"/>
      <color rgb="00FFFFFF"/>
      <sz val="10"/>
    </font>
    <font>
      <name val="Calibri"/>
      <color rgb="001B3A2F"/>
      <sz val="12"/>
    </font>
    <font>
      <name val="Calibri"/>
      <b val="1"/>
      <color rgb="001B3A2F"/>
      <sz val="10"/>
    </font>
    <font>
      <name val="Calibri"/>
      <color rgb="001A1A1A"/>
      <sz val="10"/>
    </font>
    <font>
      <name val="Calibri"/>
      <color rgb="001F6B3A"/>
      <sz val="10"/>
    </font>
    <font>
      <name val="Calibri"/>
      <b val="1"/>
      <color rgb="001F6B3A"/>
      <sz val="10"/>
    </font>
    <font>
      <name val="Calibri"/>
      <b val="1"/>
      <color rgb="00FFFFFF"/>
      <sz val="11"/>
    </font>
    <font>
      <name val="Calibri"/>
      <b val="1"/>
      <color rgb="001F6B3A"/>
      <sz val="11"/>
    </font>
    <font>
      <name val="Calibri"/>
      <color rgb="007A5EA8"/>
      <sz val="10"/>
    </font>
    <font>
      <name val="Calibri"/>
      <color rgb="001F4D7A"/>
      <sz val="10"/>
      <u val="single"/>
    </font>
    <font>
      <name val="Calibri"/>
      <i val="1"/>
      <color rgb="00D5E6DA"/>
      <sz val="9"/>
    </font>
    <font>
      <name val="Calibri"/>
      <b val="1"/>
      <color rgb="001B3A2F"/>
      <sz val="12"/>
    </font>
  </fonts>
  <fills count="9">
    <fill>
      <patternFill/>
    </fill>
    <fill>
      <patternFill patternType="gray125"/>
    </fill>
    <fill>
      <patternFill patternType="solid">
        <fgColor rgb="001B3A2F"/>
      </patternFill>
    </fill>
    <fill>
      <patternFill patternType="solid">
        <fgColor rgb="00E4F0E6"/>
      </patternFill>
    </fill>
    <fill>
      <patternFill patternType="solid">
        <fgColor rgb="00FFFFFF"/>
      </patternFill>
    </fill>
    <fill>
      <patternFill patternType="solid">
        <fgColor rgb="00F4F8F5"/>
      </patternFill>
    </fill>
    <fill>
      <patternFill patternType="solid">
        <fgColor rgb="00F0F6F1"/>
      </patternFill>
    </fill>
    <fill>
      <patternFill patternType="solid">
        <fgColor rgb="003D4A34"/>
      </patternFill>
    </fill>
    <fill>
      <patternFill patternType="solid">
        <fgColor rgb="00F7F4EC"/>
      </patternFill>
    </fill>
  </fills>
  <borders count="6">
    <border>
      <left/>
      <right/>
      <top/>
      <bottom/>
      <diagonal/>
    </border>
    <border>
      <left style="thin">
        <color rgb="00C5D5C8"/>
      </left>
      <right style="thin">
        <color rgb="00C5D5C8"/>
      </right>
      <top style="thin">
        <color rgb="00C5D5C8"/>
      </top>
      <bottom style="thin">
        <color rgb="00C5D5C8"/>
      </bottom>
    </border>
    <border>
      <left/>
      <right/>
      <top style="thin">
        <color rgb="00C5D5C8"/>
      </top>
      <bottom/>
      <diagonal/>
    </border>
    <border>
      <left/>
      <right style="thin">
        <color rgb="00C5D5C8"/>
      </right>
      <top style="thin">
        <color rgb="00C5D5C8"/>
      </top>
      <bottom/>
      <diagonal/>
    </border>
    <border>
      <left/>
      <right style="thin">
        <color rgb="00C5D5C8"/>
      </right>
      <top style="thin">
        <color rgb="00C5D5C8"/>
      </top>
      <bottom style="thin">
        <color rgb="00C5D5C8"/>
      </bottom>
      <diagonal/>
    </border>
    <border>
      <left/>
      <right/>
      <top style="thin">
        <color rgb="00C5D5C8"/>
      </top>
      <bottom style="thin">
        <color rgb="00C5D5C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3" fontId="11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3" fontId="11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right" vertical="center"/>
    </xf>
    <xf numFmtId="0" fontId="0" fillId="0" borderId="4" pivotButton="0" quotePrefix="0" xfId="0"/>
    <xf numFmtId="1" fontId="10" fillId="2" borderId="1" applyAlignment="1" pivotButton="0" quotePrefix="0" xfId="0">
      <alignment horizontal="center" vertical="center" wrapText="1"/>
    </xf>
    <xf numFmtId="3" fontId="10" fillId="2" borderId="1" applyAlignment="1" pivotButton="0" quotePrefix="0" xfId="0">
      <alignment horizontal="right" vertical="center"/>
    </xf>
    <xf numFmtId="3" fontId="10" fillId="2" borderId="1" pivotButton="0" quotePrefix="0" xfId="0"/>
    <xf numFmtId="0" fontId="14" fillId="2" borderId="1" pivotButton="0" quotePrefix="0" xfId="0"/>
    <xf numFmtId="0" fontId="15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center" wrapText="1"/>
    </xf>
    <xf numFmtId="3" fontId="11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3" fillId="0" borderId="0" applyAlignment="1" pivotButton="0" quotePrefix="0" xfId="0">
      <alignment vertical="center" wrapText="1"/>
    </xf>
    <xf numFmtId="164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0" fontId="10" fillId="2" borderId="1" pivotButton="0" quotePrefix="0" xfId="0"/>
    <xf numFmtId="0" fontId="6" fillId="3" borderId="1" applyAlignment="1" pivotButton="0" quotePrefix="0" xfId="0">
      <alignment vertical="center" indent="1"/>
    </xf>
    <xf numFmtId="0" fontId="6" fillId="3" borderId="1" pivotButton="0" quotePrefix="0" xfId="0"/>
    <xf numFmtId="0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3" fontId="9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8722;1 &#1060;&#1080;&#1090;&#1085;&#1077;&#1089;'!A1" TargetMode="External" Id="rId1" /><Relationship Type="http://schemas.openxmlformats.org/officeDocument/2006/relationships/hyperlink" Target="#'1 Socials'!A1" TargetMode="External" Id="rId2" /><Relationship Type="http://schemas.openxmlformats.org/officeDocument/2006/relationships/hyperlink" Target="#'2 &#1057;&#1090;&#1091;&#1076;&#1080;&#1103;'!A1" TargetMode="External" Id="rId3" /><Relationship Type="http://schemas.openxmlformats.org/officeDocument/2006/relationships/hyperlink" Target="#'3 &#1054;&#1092;&#1080;&#1089;'!A1" TargetMode="External" Id="rId4" /><Relationship Type="http://schemas.openxmlformats.org/officeDocument/2006/relationships/hyperlink" Target="#'&#1058;&#1077;&#1088;&#1088;&#1072;&#1089;&#1072;'!A1" TargetMode="External" Id="rId5" /><Relationship Type="http://schemas.openxmlformats.org/officeDocument/2006/relationships/hyperlink" Target="#'&#1060;&#1072;&#1089;&#1072;&#1076;'!A1" TargetMode="External" Id="rId6" /><Relationship Type="http://schemas.openxmlformats.org/officeDocument/2006/relationships/hyperlink" Target="#'&#1051;&#1080;&#1092;&#1090;'!A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zoomScale="12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22" customWidth="1" min="4" max="4"/>
    <col width="22" customWidth="1" min="5" max="5"/>
    <col width="55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6" customHeight="1">
      <c r="A1" s="1" t="inlineStr">
        <is>
          <t>Temiroff Edifice — точные цены по этажам</t>
        </is>
      </c>
    </row>
    <row r="2">
      <c r="A2" s="2" t="inlineStr">
        <is>
          <t>Навои · только зелёные цифры сметы (priceKind = exact). Примерные (фиолетовые) сюда не входят.</t>
        </is>
      </c>
    </row>
    <row r="3" ht="28" customHeight="1">
      <c r="A3" s="3" t="inlineStr">
        <is>
          <t>Источник: смета сайта, срез 04.10.2026. Суммы — как в data.js, без пересчёта. Закупки Наргизы в этажи не входят.</t>
        </is>
      </c>
    </row>
    <row r="5" ht="22" customHeight="1">
      <c r="A5" s="4" t="inlineStr">
        <is>
          <t>Этаж</t>
        </is>
      </c>
      <c r="B5" s="4" t="inlineStr">
        <is>
          <t>Помещение</t>
        </is>
      </c>
      <c r="C5" s="4" t="inlineStr">
        <is>
          <t>Точных позиций</t>
        </is>
      </c>
      <c r="D5" s="4" t="inlineStr">
        <is>
          <t>Сумма, сум</t>
        </is>
      </c>
      <c r="E5" s="4" t="inlineStr">
        <is>
          <t>Примерных не вошло, сум</t>
        </is>
      </c>
      <c r="F5" s="4" t="inlineStr">
        <is>
          <t>Лист</t>
        </is>
      </c>
    </row>
    <row r="6" ht="20" customHeight="1">
      <c r="A6" s="5" t="inlineStr">
        <is>
          <t>−1 этаж</t>
        </is>
      </c>
      <c r="B6" s="6" t="inlineStr">
        <is>
          <t>Фитнес</t>
        </is>
      </c>
      <c r="C6" s="5" t="n">
        <v>73</v>
      </c>
      <c r="D6" s="7" t="n">
        <v>1304770389</v>
      </c>
      <c r="E6" s="8" t="n">
        <v>169182300</v>
      </c>
      <c r="F6" s="9" t="inlineStr">
        <is>
          <t>−1 Фитнес</t>
        </is>
      </c>
    </row>
    <row r="7" ht="20" customHeight="1">
      <c r="A7" s="10" t="inlineStr">
        <is>
          <t>1 этаж</t>
        </is>
      </c>
      <c r="B7" s="11" t="inlineStr">
        <is>
          <t>Socials</t>
        </is>
      </c>
      <c r="C7" s="10" t="n">
        <v>0</v>
      </c>
      <c r="D7" s="12" t="n">
        <v>0</v>
      </c>
      <c r="E7" s="13" t="n">
        <v>0</v>
      </c>
      <c r="F7" s="14" t="inlineStr">
        <is>
          <t>1 Socials</t>
        </is>
      </c>
    </row>
    <row r="8" ht="20" customHeight="1">
      <c r="A8" s="5" t="inlineStr">
        <is>
          <t>2 этаж</t>
        </is>
      </c>
      <c r="B8" s="6" t="inlineStr">
        <is>
          <t>Студия</t>
        </is>
      </c>
      <c r="C8" s="5" t="n">
        <v>51</v>
      </c>
      <c r="D8" s="7" t="n">
        <v>253586600</v>
      </c>
      <c r="E8" s="8" t="n">
        <v>268930000</v>
      </c>
      <c r="F8" s="9" t="inlineStr">
        <is>
          <t>2 Студия</t>
        </is>
      </c>
    </row>
    <row r="9" ht="20" customHeight="1">
      <c r="A9" s="10" t="inlineStr">
        <is>
          <t>3 этаж</t>
        </is>
      </c>
      <c r="B9" s="11" t="inlineStr">
        <is>
          <t>Офис</t>
        </is>
      </c>
      <c r="C9" s="10" t="n">
        <v>43</v>
      </c>
      <c r="D9" s="12" t="n">
        <v>203005380</v>
      </c>
      <c r="E9" s="13" t="n">
        <v>488923240</v>
      </c>
      <c r="F9" s="14" t="inlineStr">
        <is>
          <t>3 Офис</t>
        </is>
      </c>
    </row>
    <row r="10" ht="20" customHeight="1">
      <c r="A10" s="5" t="inlineStr">
        <is>
          <t>крыша</t>
        </is>
      </c>
      <c r="B10" s="6" t="inlineStr">
        <is>
          <t>Терраса</t>
        </is>
      </c>
      <c r="C10" s="5" t="n">
        <v>18</v>
      </c>
      <c r="D10" s="7" t="n">
        <v>168665120</v>
      </c>
      <c r="E10" s="8" t="n">
        <v>246526200</v>
      </c>
      <c r="F10" s="9" t="inlineStr">
        <is>
          <t>Терраса</t>
        </is>
      </c>
    </row>
    <row r="11" ht="24" customHeight="1">
      <c r="A11" s="15" t="inlineStr">
        <is>
          <t>Этажи</t>
        </is>
      </c>
      <c r="B11" s="16" t="n"/>
      <c r="C11" s="17">
        <f>SUM(C6:C10)</f>
        <v/>
      </c>
      <c r="D11" s="18">
        <f>SUM(D6:D10)</f>
        <v/>
      </c>
      <c r="E11" s="19">
        <f>SUM(E6:E10)</f>
        <v/>
      </c>
      <c r="F11" s="20" t="inlineStr">
        <is>
          <t>совпадает со сметой exactSum</t>
        </is>
      </c>
    </row>
    <row r="13">
      <c r="A13" s="21" t="inlineStr">
        <is>
          <t>Точные цены вне этажей — в сумму этажей не входят</t>
        </is>
      </c>
    </row>
    <row r="14">
      <c r="A14" s="22" t="inlineStr"/>
      <c r="B14" s="22" t="inlineStr">
        <is>
          <t>Что</t>
        </is>
      </c>
      <c r="C14" s="22" t="inlineStr">
        <is>
          <t>Позиций</t>
        </is>
      </c>
      <c r="D14" s="22" t="inlineStr">
        <is>
          <t>Сумма, сум</t>
        </is>
      </c>
      <c r="E14" s="22" t="inlineStr"/>
      <c r="F14" s="22" t="inlineStr">
        <is>
          <t>Лист</t>
        </is>
      </c>
    </row>
    <row r="15" ht="20" customHeight="1">
      <c r="A15" s="23" t="inlineStr">
        <is>
          <t>вне этажа</t>
        </is>
      </c>
      <c r="B15" s="24" t="inlineStr">
        <is>
          <t>Фасад · остекление Imzo</t>
        </is>
      </c>
      <c r="C15" s="23" t="n">
        <v>1</v>
      </c>
      <c r="D15" s="25" t="n">
        <v>156000000</v>
      </c>
      <c r="E15" s="24" t="inlineStr"/>
      <c r="F15" s="26" t="inlineStr">
        <is>
          <t>Фасад</t>
        </is>
      </c>
    </row>
    <row r="16" ht="20" customHeight="1">
      <c r="A16" s="23" t="inlineStr">
        <is>
          <t>вне этажа</t>
        </is>
      </c>
      <c r="B16" s="24" t="inlineStr">
        <is>
          <t>ASERA · КП и каркас</t>
        </is>
      </c>
      <c r="C16" s="23" t="n">
        <v>15</v>
      </c>
      <c r="D16" s="25" t="n">
        <v>533385000</v>
      </c>
      <c r="E16" s="24" t="inlineStr"/>
      <c r="F16" s="26" t="inlineStr">
        <is>
          <t>Лифт</t>
        </is>
      </c>
    </row>
    <row r="18">
      <c r="A18" s="3" t="inlineStr">
        <is>
          <t>1 этаж Socials: отделка и мебель у арендатора, в смету БЦ не входят — точных цен нет.</t>
        </is>
      </c>
    </row>
    <row r="19">
      <c r="A19" s="3" t="inlineStr">
        <is>
          <t>Фиолетовые (примерные) суммы показаны только в столбце «не вошло», построчно их здесь нет.</t>
        </is>
      </c>
    </row>
    <row r="20">
      <c r="A20" s="3" t="inlineStr">
        <is>
          <t>Контроль: exactSum на сайте 1 930 027 489 сум. Итог листа этажей должен совпасть.</t>
        </is>
      </c>
    </row>
  </sheetData>
  <autoFilter ref="A5:F10"/>
  <mergeCells count="8">
    <mergeCell ref="A2:F2"/>
    <mergeCell ref="A13:F13"/>
    <mergeCell ref="A19:F19"/>
    <mergeCell ref="A11:B11"/>
    <mergeCell ref="A1:F1"/>
    <mergeCell ref="A18:F18"/>
    <mergeCell ref="A3:F3"/>
    <mergeCell ref="A20:F20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5" r:id="rId6"/>
    <hyperlink xmlns:r="http://schemas.openxmlformats.org/officeDocument/2006/relationships" ref="F16" r:id="rId7"/>
  </hyperlinks>
  <pageMargins left="0.4" right="0.4" top="0.5" bottom="0.5" header="0.2" footer="0.2"/>
  <pageSetup orientation="landscape" paperSize="9" fitToHeight="1" fitToWidth="1"/>
  <headerFooter>
    <oddHeader>&amp;LTemiroff Edifice · точные цены</oddHeader>
    <oddFooter>&amp;RСрез 04.10.2026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2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16" customWidth="1" min="4" max="4"/>
    <col width="34" customWidth="1" min="5" max="5"/>
    <col width="46" customWidth="1" min="6" max="6"/>
    <col width="36" customWidth="1" min="7" max="7"/>
    <col width="10" customWidth="1" min="8" max="8"/>
    <col width="12" customWidth="1" min="9" max="9"/>
    <col width="16" customWidth="1" min="10" max="10"/>
    <col width="18" customWidth="1" min="11" max="11"/>
    <col width="42" customWidth="1" min="12" max="12"/>
  </cols>
  <sheetData>
    <row r="1" ht="24" customHeight="1">
      <c r="A1" s="27" t="inlineStr">
        <is>
          <t>Все точные позиции этажей</t>
        </is>
      </c>
    </row>
    <row r="2" ht="18" customHeight="1">
      <c r="A2" s="28" t="inlineStr">
        <is>
          <t>Один список, чтобы фильтровать в Excel</t>
        </is>
      </c>
    </row>
    <row r="3" ht="32" customHeight="1">
      <c r="A3" s="29" t="inlineStr">
        <is>
          <t>Этажи БЦ. Фасад и лифт на своих листах, здесь их нет. Срез 04.10.2026.</t>
        </is>
      </c>
    </row>
    <row r="4" ht="8" customHeight="1"/>
    <row r="5" ht="22" customHeight="1">
      <c r="A5" s="4" t="inlineStr">
        <is>
          <t>Этаж</t>
        </is>
      </c>
      <c r="B5" s="4" t="inlineStr">
        <is>
          <t>Помещение</t>
        </is>
      </c>
      <c r="C5" s="4" t="inlineStr">
        <is>
          <t>№</t>
        </is>
      </c>
      <c r="D5" s="4" t="inlineStr">
        <is>
          <t>Код</t>
        </is>
      </c>
      <c r="E5" s="4" t="inlineStr">
        <is>
          <t>Раздел</t>
        </is>
      </c>
      <c r="F5" s="4" t="inlineStr">
        <is>
          <t>Наименование</t>
        </is>
      </c>
      <c r="G5" s="4" t="inlineStr">
        <is>
          <t>Спецификация</t>
        </is>
      </c>
      <c r="H5" s="4" t="inlineStr">
        <is>
          <t>Ед.</t>
        </is>
      </c>
      <c r="I5" s="4" t="inlineStr">
        <is>
          <t>Кол-во</t>
        </is>
      </c>
      <c r="J5" s="4" t="inlineStr">
        <is>
          <t>Цена, сум</t>
        </is>
      </c>
      <c r="K5" s="4" t="inlineStr">
        <is>
          <t>Сумма, сум</t>
        </is>
      </c>
      <c r="L5" s="4" t="inlineStr">
        <is>
          <t>Примечание</t>
        </is>
      </c>
    </row>
    <row r="6" ht="18" customHeight="1">
      <c r="A6" s="5" t="inlineStr">
        <is>
          <t>−1 этаж</t>
        </is>
      </c>
      <c r="B6" s="5" t="inlineStr">
        <is>
          <t>Фитнес</t>
        </is>
      </c>
      <c r="C6" s="5" t="n">
        <v>1</v>
      </c>
      <c r="D6" s="6" t="inlineStr">
        <is>
          <t>B1-PER-001</t>
        </is>
      </c>
      <c r="E6" s="6" t="inlineStr">
        <is>
          <t>Перегородки, двери, остекление</t>
        </is>
      </c>
      <c r="F6" s="6" t="inlineStr">
        <is>
          <t>Гипсокартонная перегородка (ГКЛ) — 50 мм</t>
        </is>
      </c>
      <c r="G6" s="6" t="inlineStr">
        <is>
          <t>из исходной сметы</t>
        </is>
      </c>
      <c r="H6" s="5" t="inlineStr">
        <is>
          <t>м²</t>
        </is>
      </c>
      <c r="I6" s="30" t="n">
        <v>10</v>
      </c>
      <c r="J6" s="31" t="n">
        <v>80000</v>
      </c>
      <c r="K6" s="32" t="n">
        <v>800000</v>
      </c>
      <c r="L6" s="6" t="inlineStr">
        <is>
          <t>смонтировано</t>
        </is>
      </c>
    </row>
    <row r="7" ht="18" customHeight="1">
      <c r="A7" s="10" t="inlineStr">
        <is>
          <t>−1 этаж</t>
        </is>
      </c>
      <c r="B7" s="10" t="inlineStr">
        <is>
          <t>Фитнес</t>
        </is>
      </c>
      <c r="C7" s="10" t="n">
        <v>2</v>
      </c>
      <c r="D7" s="11" t="inlineStr">
        <is>
          <t>B1-PER-002</t>
        </is>
      </c>
      <c r="E7" s="11" t="inlineStr">
        <is>
          <t>Перегородки, двери, остекление</t>
        </is>
      </c>
      <c r="F7" s="11" t="inlineStr">
        <is>
          <t>Гипсокартонная перегородка (ГКЛ) — 100 мм</t>
        </is>
      </c>
      <c r="G7" s="11" t="inlineStr">
        <is>
          <t>из исходной сметы</t>
        </is>
      </c>
      <c r="H7" s="10" t="inlineStr">
        <is>
          <t>м²</t>
        </is>
      </c>
      <c r="I7" s="33" t="n">
        <v>78</v>
      </c>
      <c r="J7" s="34" t="n">
        <v>80000</v>
      </c>
      <c r="K7" s="35" t="n">
        <v>6240000</v>
      </c>
      <c r="L7" s="11" t="inlineStr">
        <is>
          <t>смонтировано</t>
        </is>
      </c>
    </row>
    <row r="8" ht="18" customHeight="1">
      <c r="A8" s="5" t="inlineStr">
        <is>
          <t>−1 этаж</t>
        </is>
      </c>
      <c r="B8" s="5" t="inlineStr">
        <is>
          <t>Фитнес</t>
        </is>
      </c>
      <c r="C8" s="5" t="n">
        <v>5</v>
      </c>
      <c r="D8" s="6" t="inlineStr">
        <is>
          <t>B1-PER-005</t>
        </is>
      </c>
      <c r="E8" s="6" t="inlineStr">
        <is>
          <t>Перегородки, двери, остекление</t>
        </is>
      </c>
      <c r="F8" s="6" t="inlineStr">
        <is>
          <t>Перегородки санузлов/душевых, 18 мм</t>
        </is>
      </c>
      <c r="G8" s="6" t="inlineStr">
        <is>
          <t>из исходной сметы</t>
        </is>
      </c>
      <c r="H8" s="5" t="inlineStr">
        <is>
          <t>м²</t>
        </is>
      </c>
      <c r="I8" s="30" t="n">
        <v>9</v>
      </c>
      <c r="J8" s="31" t="n">
        <v>80000</v>
      </c>
      <c r="K8" s="32" t="n">
        <v>720000</v>
      </c>
      <c r="L8" s="6" t="inlineStr">
        <is>
          <t>В РП ЛДСП. В мокрой зоне применять HPL / компакт-ламинат</t>
        </is>
      </c>
    </row>
    <row r="9" ht="18" customHeight="1">
      <c r="A9" s="10" t="inlineStr">
        <is>
          <t>−1 этаж</t>
        </is>
      </c>
      <c r="B9" s="10" t="inlineStr">
        <is>
          <t>Фитнес</t>
        </is>
      </c>
      <c r="C9" s="10" t="n">
        <v>6</v>
      </c>
      <c r="D9" s="11" t="inlineStr">
        <is>
          <t>B1-PER-006</t>
        </is>
      </c>
      <c r="E9" s="11" t="inlineStr">
        <is>
          <t>Перегородки, двери, остекление</t>
        </is>
      </c>
      <c r="F9" s="11" t="inlineStr">
        <is>
          <t>Дверной блок 2150×1000, скрытый монтаж, алюм. короб</t>
        </is>
      </c>
      <c r="G9" s="11" t="inlineStr">
        <is>
          <t>цена $ × 11700</t>
        </is>
      </c>
      <c r="H9" s="10" t="inlineStr">
        <is>
          <t>шт</t>
        </is>
      </c>
      <c r="I9" s="33" t="n">
        <v>1</v>
      </c>
      <c r="J9" s="34" t="n">
        <v>7605000</v>
      </c>
      <c r="K9" s="35" t="n">
        <v>7605000</v>
      </c>
      <c r="L9" s="11" t="inlineStr">
        <is>
          <t>вход в ресепшн</t>
        </is>
      </c>
    </row>
    <row r="10" ht="18" customHeight="1">
      <c r="A10" s="5" t="inlineStr">
        <is>
          <t>−1 этаж</t>
        </is>
      </c>
      <c r="B10" s="5" t="inlineStr">
        <is>
          <t>Фитнес</t>
        </is>
      </c>
      <c r="C10" s="5" t="n">
        <v>7</v>
      </c>
      <c r="D10" s="6" t="inlineStr">
        <is>
          <t>B1-PER-007</t>
        </is>
      </c>
      <c r="E10" s="6" t="inlineStr">
        <is>
          <t>Перегородки, двери, остекление</t>
        </is>
      </c>
      <c r="F10" s="6" t="inlineStr">
        <is>
          <t>Дверной блок 2150×900, скрытый монтаж</t>
        </is>
      </c>
      <c r="G10" s="6" t="inlineStr">
        <is>
          <t>цена $ × 11700</t>
        </is>
      </c>
      <c r="H10" s="5" t="inlineStr">
        <is>
          <t>шт</t>
        </is>
      </c>
      <c r="I10" s="30" t="n">
        <v>1</v>
      </c>
      <c r="J10" s="31" t="n">
        <v>7605000</v>
      </c>
      <c r="K10" s="32" t="n">
        <v>7605000</v>
      </c>
      <c r="L10" s="6" t="n"/>
    </row>
    <row r="11" ht="18" customHeight="1">
      <c r="A11" s="10" t="inlineStr">
        <is>
          <t>−1 этаж</t>
        </is>
      </c>
      <c r="B11" s="10" t="inlineStr">
        <is>
          <t>Фитнес</t>
        </is>
      </c>
      <c r="C11" s="10" t="n">
        <v>8</v>
      </c>
      <c r="D11" s="11" t="inlineStr">
        <is>
          <t>B1-PER-008</t>
        </is>
      </c>
      <c r="E11" s="11" t="inlineStr">
        <is>
          <t>Перегородки, двери, остекление</t>
        </is>
      </c>
      <c r="F11" s="11" t="inlineStr">
        <is>
          <t>Дверной блок 2150×800, скрытый монтаж</t>
        </is>
      </c>
      <c r="G11" s="11" t="inlineStr">
        <is>
          <t>цена $ × 11700</t>
        </is>
      </c>
      <c r="H11" s="10" t="inlineStr">
        <is>
          <t>шт</t>
        </is>
      </c>
      <c r="I11" s="33" t="n">
        <v>4</v>
      </c>
      <c r="J11" s="34" t="n">
        <v>7605000</v>
      </c>
      <c r="K11" s="35" t="n">
        <v>30420000</v>
      </c>
      <c r="L11" s="11" t="n"/>
    </row>
    <row r="12" ht="18" customHeight="1">
      <c r="A12" s="5" t="inlineStr">
        <is>
          <t>−1 этаж</t>
        </is>
      </c>
      <c r="B12" s="5" t="inlineStr">
        <is>
          <t>Фитнес</t>
        </is>
      </c>
      <c r="C12" s="5" t="n">
        <v>9</v>
      </c>
      <c r="D12" s="6" t="inlineStr">
        <is>
          <t>B1-PER-009</t>
        </is>
      </c>
      <c r="E12" s="6" t="inlineStr">
        <is>
          <t>Перегородки, двери, остекление</t>
        </is>
      </c>
      <c r="F12" s="6" t="inlineStr">
        <is>
          <t>Дверной блок 2200×800, ВЛАГОСТОЙКОЕ ИСПОЛНЕНИЕ</t>
        </is>
      </c>
      <c r="G12" s="6" t="inlineStr">
        <is>
          <t>цена $ × 11700</t>
        </is>
      </c>
      <c r="H12" s="5" t="inlineStr">
        <is>
          <t>шт</t>
        </is>
      </c>
      <c r="I12" s="30" t="n">
        <v>2</v>
      </c>
      <c r="J12" s="31" t="n">
        <v>7020000</v>
      </c>
      <c r="K12" s="32" t="n">
        <v>14040000</v>
      </c>
      <c r="L12" s="6" t="inlineStr">
        <is>
          <t>душевые/санузлы. Требование влагостойкости внесено по решению заказчика</t>
        </is>
      </c>
    </row>
    <row r="13" ht="18" customHeight="1">
      <c r="A13" s="10" t="inlineStr">
        <is>
          <t>−1 этаж</t>
        </is>
      </c>
      <c r="B13" s="10" t="inlineStr">
        <is>
          <t>Фитнес</t>
        </is>
      </c>
      <c r="C13" s="10" t="n">
        <v>13</v>
      </c>
      <c r="D13" s="11" t="inlineStr">
        <is>
          <t>B1-SAN-001</t>
        </is>
      </c>
      <c r="E13" s="11" t="inlineStr">
        <is>
          <t>Сантехника</t>
        </is>
      </c>
      <c r="F13" s="11" t="inlineStr">
        <is>
          <t>Душевая кабина</t>
        </is>
      </c>
      <c r="G13" s="11" t="inlineStr">
        <is>
          <t>из исходной сметы</t>
        </is>
      </c>
      <c r="H13" s="10" t="inlineStr">
        <is>
          <t>шт</t>
        </is>
      </c>
      <c r="I13" s="33" t="n">
        <v>2</v>
      </c>
      <c r="J13" s="34" t="n">
        <v>8500000</v>
      </c>
      <c r="K13" s="35" t="n">
        <v>17000000</v>
      </c>
      <c r="L13" s="11" t="inlineStr">
        <is>
          <t>пом. 5, 6</t>
        </is>
      </c>
    </row>
    <row r="14" ht="18" customHeight="1">
      <c r="A14" s="5" t="inlineStr">
        <is>
          <t>−1 этаж</t>
        </is>
      </c>
      <c r="B14" s="5" t="inlineStr">
        <is>
          <t>Фитнес</t>
        </is>
      </c>
      <c r="C14" s="5" t="n">
        <v>14</v>
      </c>
      <c r="D14" s="6" t="inlineStr">
        <is>
          <t>B1-SAN-002</t>
        </is>
      </c>
      <c r="E14" s="6" t="inlineStr">
        <is>
          <t>Сантехника</t>
        </is>
      </c>
      <c r="F14" s="6" t="inlineStr">
        <is>
          <t>Раковина встраиваемая</t>
        </is>
      </c>
      <c r="G14" s="6" t="inlineStr">
        <is>
          <t>из исходной сметы</t>
        </is>
      </c>
      <c r="H14" s="5" t="inlineStr">
        <is>
          <t>шт</t>
        </is>
      </c>
      <c r="I14" s="30" t="n">
        <v>3</v>
      </c>
      <c r="J14" s="31" t="n">
        <v>1500000</v>
      </c>
      <c r="K14" s="32" t="n">
        <v>4500000</v>
      </c>
      <c r="L14" s="6" t="inlineStr">
        <is>
          <t>пом. 7, 8 + раздевалка</t>
        </is>
      </c>
    </row>
    <row r="15" ht="18" customHeight="1">
      <c r="A15" s="10" t="inlineStr">
        <is>
          <t>−1 этаж</t>
        </is>
      </c>
      <c r="B15" s="10" t="inlineStr">
        <is>
          <t>Фитнес</t>
        </is>
      </c>
      <c r="C15" s="10" t="n">
        <v>15</v>
      </c>
      <c r="D15" s="11" t="inlineStr">
        <is>
          <t>B1-SAN-003</t>
        </is>
      </c>
      <c r="E15" s="11" t="inlineStr">
        <is>
          <t>Сантехника</t>
        </is>
      </c>
      <c r="F15" s="11" t="inlineStr">
        <is>
          <t>Унитаз подвесной</t>
        </is>
      </c>
      <c r="G15" s="11" t="inlineStr">
        <is>
          <t>из исходной сметы</t>
        </is>
      </c>
      <c r="H15" s="10" t="inlineStr">
        <is>
          <t>шт</t>
        </is>
      </c>
      <c r="I15" s="33" t="n">
        <v>2</v>
      </c>
      <c r="J15" s="34" t="n">
        <v>3000000</v>
      </c>
      <c r="K15" s="35" t="n">
        <v>6000000</v>
      </c>
      <c r="L15" s="11" t="inlineStr">
        <is>
          <t>пом. 7, 8</t>
        </is>
      </c>
    </row>
    <row r="16" ht="18" customHeight="1">
      <c r="A16" s="5" t="inlineStr">
        <is>
          <t>−1 этаж</t>
        </is>
      </c>
      <c r="B16" s="5" t="inlineStr">
        <is>
          <t>Фитнес</t>
        </is>
      </c>
      <c r="C16" s="5" t="n">
        <v>16</v>
      </c>
      <c r="D16" s="6" t="inlineStr">
        <is>
          <t>B1-SAN-004</t>
        </is>
      </c>
      <c r="E16" s="6" t="inlineStr">
        <is>
          <t>Сантехника</t>
        </is>
      </c>
      <c r="F16" s="6" t="inlineStr">
        <is>
          <t>Держатель бумаги</t>
        </is>
      </c>
      <c r="G16" s="6" t="inlineStr">
        <is>
          <t>из исходной сметы</t>
        </is>
      </c>
      <c r="H16" s="5" t="inlineStr">
        <is>
          <t>шт</t>
        </is>
      </c>
      <c r="I16" s="30" t="n">
        <v>2</v>
      </c>
      <c r="J16" s="31" t="n">
        <v>250000</v>
      </c>
      <c r="K16" s="32" t="n">
        <v>500000</v>
      </c>
      <c r="L16" s="6" t="n"/>
    </row>
    <row r="17" ht="18" customHeight="1">
      <c r="A17" s="10" t="inlineStr">
        <is>
          <t>−1 этаж</t>
        </is>
      </c>
      <c r="B17" s="10" t="inlineStr">
        <is>
          <t>Фитнес</t>
        </is>
      </c>
      <c r="C17" s="10" t="n">
        <v>17</v>
      </c>
      <c r="D17" s="11" t="inlineStr">
        <is>
          <t>B1-SAN-005</t>
        </is>
      </c>
      <c r="E17" s="11" t="inlineStr">
        <is>
          <t>Сантехника</t>
        </is>
      </c>
      <c r="F17" s="11" t="inlineStr">
        <is>
          <t>Гигиенический душ ХВ</t>
        </is>
      </c>
      <c r="G17" s="11" t="inlineStr">
        <is>
          <t>из исходной сметы</t>
        </is>
      </c>
      <c r="H17" s="10" t="inlineStr">
        <is>
          <t>шт</t>
        </is>
      </c>
      <c r="I17" s="33" t="n">
        <v>2</v>
      </c>
      <c r="J17" s="34" t="n">
        <v>700000</v>
      </c>
      <c r="K17" s="35" t="n">
        <v>1400000</v>
      </c>
      <c r="L17" s="11" t="n"/>
    </row>
    <row r="18" ht="18" customHeight="1">
      <c r="A18" s="5" t="inlineStr">
        <is>
          <t>−1 этаж</t>
        </is>
      </c>
      <c r="B18" s="5" t="inlineStr">
        <is>
          <t>Фитнес</t>
        </is>
      </c>
      <c r="C18" s="5" t="n">
        <v>18</v>
      </c>
      <c r="D18" s="6" t="inlineStr">
        <is>
          <t>B1-SAN-006</t>
        </is>
      </c>
      <c r="E18" s="6" t="inlineStr">
        <is>
          <t>Сантехника</t>
        </is>
      </c>
      <c r="F18" s="6" t="inlineStr">
        <is>
          <t>Инсталляция для унитаза</t>
        </is>
      </c>
      <c r="G18" s="6" t="inlineStr">
        <is>
          <t>из исходной сметы</t>
        </is>
      </c>
      <c r="H18" s="5" t="inlineStr">
        <is>
          <t>шт</t>
        </is>
      </c>
      <c r="I18" s="30" t="n">
        <v>2</v>
      </c>
      <c r="J18" s="31" t="n">
        <v>3250000</v>
      </c>
      <c r="K18" s="32" t="n">
        <v>6500000</v>
      </c>
      <c r="L18" s="6" t="inlineStr">
        <is>
          <t>монтаж в металлоконструкцию w-3</t>
        </is>
      </c>
    </row>
    <row r="19" ht="18" customHeight="1">
      <c r="A19" s="10" t="inlineStr">
        <is>
          <t>−1 этаж</t>
        </is>
      </c>
      <c r="B19" s="10" t="inlineStr">
        <is>
          <t>Фитнес</t>
        </is>
      </c>
      <c r="C19" s="10" t="n">
        <v>19</v>
      </c>
      <c r="D19" s="11" t="inlineStr">
        <is>
          <t>B1-SAN-007</t>
        </is>
      </c>
      <c r="E19" s="11" t="inlineStr">
        <is>
          <t>Сантехника</t>
        </is>
      </c>
      <c r="F19" s="11" t="inlineStr">
        <is>
          <t>Ершик туалетный</t>
        </is>
      </c>
      <c r="G19" s="11" t="inlineStr">
        <is>
          <t>из исходной сметы</t>
        </is>
      </c>
      <c r="H19" s="10" t="inlineStr">
        <is>
          <t>шт</t>
        </is>
      </c>
      <c r="I19" s="33" t="n">
        <v>2</v>
      </c>
      <c r="J19" s="34" t="n">
        <v>300000</v>
      </c>
      <c r="K19" s="35" t="n">
        <v>600000</v>
      </c>
      <c r="L19" s="11" t="n"/>
    </row>
    <row r="20" ht="18" customHeight="1">
      <c r="A20" s="5" t="inlineStr">
        <is>
          <t>−1 этаж</t>
        </is>
      </c>
      <c r="B20" s="5" t="inlineStr">
        <is>
          <t>Фитнес</t>
        </is>
      </c>
      <c r="C20" s="5" t="n">
        <v>20</v>
      </c>
      <c r="D20" s="6" t="inlineStr">
        <is>
          <t>B1-SAN-008</t>
        </is>
      </c>
      <c r="E20" s="6" t="inlineStr">
        <is>
          <t>Сантехника</t>
        </is>
      </c>
      <c r="F20" s="6" t="inlineStr">
        <is>
          <t>Ведро мусорное с педалью 20 л, нерж., хром</t>
        </is>
      </c>
      <c r="G20" s="6" t="inlineStr">
        <is>
          <t>из исходной сметы</t>
        </is>
      </c>
      <c r="H20" s="5" t="inlineStr">
        <is>
          <t>шт</t>
        </is>
      </c>
      <c r="I20" s="30" t="n">
        <v>2</v>
      </c>
      <c r="J20" s="31" t="n">
        <v>750000</v>
      </c>
      <c r="K20" s="32" t="n">
        <v>1500000</v>
      </c>
      <c r="L20" s="6" t="n"/>
    </row>
    <row r="21" ht="18" customHeight="1">
      <c r="A21" s="10" t="inlineStr">
        <is>
          <t>−1 этаж</t>
        </is>
      </c>
      <c r="B21" s="10" t="inlineStr">
        <is>
          <t>Фитнес</t>
        </is>
      </c>
      <c r="C21" s="10" t="n">
        <v>21</v>
      </c>
      <c r="D21" s="11" t="inlineStr">
        <is>
          <t>B1-SAN-009</t>
        </is>
      </c>
      <c r="E21" s="11" t="inlineStr">
        <is>
          <t>Сантехника</t>
        </is>
      </c>
      <c r="F21" s="11" t="inlineStr">
        <is>
          <t>Душевая система наружного монтажа</t>
        </is>
      </c>
      <c r="G21" s="11" t="inlineStr">
        <is>
          <t>из исходной сметы</t>
        </is>
      </c>
      <c r="H21" s="10" t="inlineStr">
        <is>
          <t>шт</t>
        </is>
      </c>
      <c r="I21" s="33" t="n">
        <v>2</v>
      </c>
      <c r="J21" s="34" t="n">
        <v>2200000</v>
      </c>
      <c r="K21" s="35" t="n">
        <v>4400000</v>
      </c>
      <c r="L21" s="11" t="inlineStr">
        <is>
          <t>пом. 5, 6</t>
        </is>
      </c>
    </row>
    <row r="22" ht="18" customHeight="1">
      <c r="A22" s="5" t="inlineStr">
        <is>
          <t>−1 этаж</t>
        </is>
      </c>
      <c r="B22" s="5" t="inlineStr">
        <is>
          <t>Фитнес</t>
        </is>
      </c>
      <c r="C22" s="5" t="n">
        <v>22</v>
      </c>
      <c r="D22" s="6" t="inlineStr">
        <is>
          <t>B1-SAN-010</t>
        </is>
      </c>
      <c r="E22" s="6" t="inlineStr">
        <is>
          <t>Сантехника</t>
        </is>
      </c>
      <c r="F22" s="6" t="inlineStr">
        <is>
          <t>Зеркало сенсорное с подсветкой 1300×1200</t>
        </is>
      </c>
      <c r="G22" s="6" t="inlineStr">
        <is>
          <t>из исходной сметы</t>
        </is>
      </c>
      <c r="H22" s="5" t="inlineStr">
        <is>
          <t>шт</t>
        </is>
      </c>
      <c r="I22" s="30" t="n">
        <v>2</v>
      </c>
      <c r="J22" s="31" t="n">
        <v>3500000</v>
      </c>
      <c r="K22" s="32" t="n">
        <v>7000000</v>
      </c>
      <c r="L22" s="6" t="n"/>
    </row>
    <row r="23" ht="18" customHeight="1">
      <c r="A23" s="10" t="inlineStr">
        <is>
          <t>−1 этаж</t>
        </is>
      </c>
      <c r="B23" s="10" t="inlineStr">
        <is>
          <t>Фитнес</t>
        </is>
      </c>
      <c r="C23" s="10" t="n">
        <v>23</v>
      </c>
      <c r="D23" s="11" t="inlineStr">
        <is>
          <t>B1-SAN-011</t>
        </is>
      </c>
      <c r="E23" s="11" t="inlineStr">
        <is>
          <t>Сантехника</t>
        </is>
      </c>
      <c r="F23" s="11" t="inlineStr">
        <is>
          <t>Зеркало сенсорное с подсветкой 900×1200</t>
        </is>
      </c>
      <c r="G23" s="11" t="inlineStr">
        <is>
          <t>из исходной сметы</t>
        </is>
      </c>
      <c r="H23" s="10" t="inlineStr">
        <is>
          <t>шт</t>
        </is>
      </c>
      <c r="I23" s="33" t="n">
        <v>1</v>
      </c>
      <c r="J23" s="34" t="n">
        <v>2700000</v>
      </c>
      <c r="K23" s="35" t="n">
        <v>2700000</v>
      </c>
      <c r="L23" s="11" t="n"/>
    </row>
    <row r="24" ht="18" customHeight="1">
      <c r="A24" s="5" t="inlineStr">
        <is>
          <t>−1 этаж</t>
        </is>
      </c>
      <c r="B24" s="5" t="inlineStr">
        <is>
          <t>Фитнес</t>
        </is>
      </c>
      <c r="C24" s="5" t="n">
        <v>24</v>
      </c>
      <c r="D24" s="6" t="inlineStr">
        <is>
          <t>B1-SAN-012</t>
        </is>
      </c>
      <c r="E24" s="6" t="inlineStr">
        <is>
          <t>Сантехника</t>
        </is>
      </c>
      <c r="F24" s="6" t="inlineStr">
        <is>
          <t>Зеркало 1300×2100</t>
        </is>
      </c>
      <c r="G24" s="6" t="inlineStr">
        <is>
          <t>из исходной сметы</t>
        </is>
      </c>
      <c r="H24" s="5" t="inlineStr">
        <is>
          <t>шт</t>
        </is>
      </c>
      <c r="I24" s="30" t="n">
        <v>1</v>
      </c>
      <c r="J24" s="31" t="n">
        <v>4500000</v>
      </c>
      <c r="K24" s="32" t="n">
        <v>4500000</v>
      </c>
      <c r="L24" s="6" t="n"/>
    </row>
    <row r="25" ht="18" customHeight="1">
      <c r="A25" s="10" t="inlineStr">
        <is>
          <t>−1 этаж</t>
        </is>
      </c>
      <c r="B25" s="10" t="inlineStr">
        <is>
          <t>Фитнес</t>
        </is>
      </c>
      <c r="C25" s="10" t="n">
        <v>25</v>
      </c>
      <c r="D25" s="11" t="inlineStr">
        <is>
          <t>B1-SAN-013</t>
        </is>
      </c>
      <c r="E25" s="11" t="inlineStr">
        <is>
          <t>Сантехника</t>
        </is>
      </c>
      <c r="F25" s="11" t="inlineStr">
        <is>
          <t>Смеситель для раковины</t>
        </is>
      </c>
      <c r="G25" s="11" t="inlineStr">
        <is>
          <t>из исходной сметы</t>
        </is>
      </c>
      <c r="H25" s="10" t="inlineStr">
        <is>
          <t>шт</t>
        </is>
      </c>
      <c r="I25" s="33" t="n">
        <v>3</v>
      </c>
      <c r="J25" s="34" t="n">
        <v>1200000</v>
      </c>
      <c r="K25" s="35" t="n">
        <v>3600000</v>
      </c>
      <c r="L25" s="11" t="inlineStr">
        <is>
          <t>в КП подрядчика по сантехнике</t>
        </is>
      </c>
    </row>
    <row r="26" ht="18" customHeight="1">
      <c r="A26" s="5" t="inlineStr">
        <is>
          <t>−1 этаж</t>
        </is>
      </c>
      <c r="B26" s="5" t="inlineStr">
        <is>
          <t>Фитнес</t>
        </is>
      </c>
      <c r="C26" s="5" t="n">
        <v>26</v>
      </c>
      <c r="D26" s="6" t="inlineStr">
        <is>
          <t>B1-SAN-014</t>
        </is>
      </c>
      <c r="E26" s="6" t="inlineStr">
        <is>
          <t>Сантехника</t>
        </is>
      </c>
      <c r="F26" s="6" t="inlineStr">
        <is>
          <t>Трап душевой с сухим затвором</t>
        </is>
      </c>
      <c r="G26" s="6" t="inlineStr">
        <is>
          <t>из исходной сметы</t>
        </is>
      </c>
      <c r="H26" s="5" t="inlineStr">
        <is>
          <t>шт</t>
        </is>
      </c>
      <c r="I26" s="30" t="n">
        <v>2</v>
      </c>
      <c r="J26" s="31" t="n">
        <v>650000</v>
      </c>
      <c r="K26" s="32" t="n">
        <v>1300000</v>
      </c>
      <c r="L26" s="6" t="inlineStr">
        <is>
          <t>в КП подрядчика по сантехнике</t>
        </is>
      </c>
    </row>
    <row r="27" ht="18" customHeight="1">
      <c r="A27" s="10" t="inlineStr">
        <is>
          <t>−1 этаж</t>
        </is>
      </c>
      <c r="B27" s="10" t="inlineStr">
        <is>
          <t>Фитнес</t>
        </is>
      </c>
      <c r="C27" s="10" t="n">
        <v>27</v>
      </c>
      <c r="D27" s="11" t="inlineStr">
        <is>
          <t>B1-SAN-015</t>
        </is>
      </c>
      <c r="E27" s="11" t="inlineStr">
        <is>
          <t>Сантехника</t>
        </is>
      </c>
      <c r="F27" s="11" t="inlineStr">
        <is>
          <t>Насос канализационный (сололифт) для стока душевых</t>
        </is>
      </c>
      <c r="G27" s="11" t="inlineStr">
        <is>
          <t>из исходной сметы</t>
        </is>
      </c>
      <c r="H27" s="10" t="inlineStr">
        <is>
          <t>шт</t>
        </is>
      </c>
      <c r="I27" s="33" t="n">
        <v>1</v>
      </c>
      <c r="J27" s="34" t="n">
        <v>4500000</v>
      </c>
      <c r="K27" s="35" t="n">
        <v>4500000</v>
      </c>
      <c r="L27" s="11" t="inlineStr">
        <is>
          <t>подвал ниже уровня канализации — обязателен</t>
        </is>
      </c>
    </row>
    <row r="28" ht="18" customHeight="1">
      <c r="A28" s="5" t="inlineStr">
        <is>
          <t>−1 этаж</t>
        </is>
      </c>
      <c r="B28" s="5" t="inlineStr">
        <is>
          <t>Фитнес</t>
        </is>
      </c>
      <c r="C28" s="5" t="n">
        <v>28</v>
      </c>
      <c r="D28" s="6" t="inlineStr">
        <is>
          <t>B1-SAN-016</t>
        </is>
      </c>
      <c r="E28" s="6" t="inlineStr">
        <is>
          <t>Сантехника</t>
        </is>
      </c>
      <c r="F28" s="6" t="inlineStr">
        <is>
          <t>Клавиша смыва инсталляции, чёрная</t>
        </is>
      </c>
      <c r="G28" s="6" t="inlineStr">
        <is>
          <t>из исходной сметы</t>
        </is>
      </c>
      <c r="H28" s="5" t="inlineStr">
        <is>
          <t>шт</t>
        </is>
      </c>
      <c r="I28" s="30" t="n">
        <v>2</v>
      </c>
      <c r="J28" s="31" t="n">
        <v>650000</v>
      </c>
      <c r="K28" s="32" t="n">
        <v>1300000</v>
      </c>
      <c r="L28" s="6" t="inlineStr">
        <is>
          <t>по ДП</t>
        </is>
      </c>
    </row>
    <row r="29" ht="18" customHeight="1">
      <c r="A29" s="10" t="inlineStr">
        <is>
          <t>−1 этаж</t>
        </is>
      </c>
      <c r="B29" s="10" t="inlineStr">
        <is>
          <t>Фитнес</t>
        </is>
      </c>
      <c r="C29" s="10" t="n">
        <v>29</v>
      </c>
      <c r="D29" s="11" t="inlineStr">
        <is>
          <t>B1-SAN-017</t>
        </is>
      </c>
      <c r="E29" s="11" t="inlineStr">
        <is>
          <t>Сантехника</t>
        </is>
      </c>
      <c r="F29" s="11" t="inlineStr">
        <is>
          <t>Диспенсер бумажных полотенец</t>
        </is>
      </c>
      <c r="G29" s="11" t="inlineStr">
        <is>
          <t>из исходной сметы</t>
        </is>
      </c>
      <c r="H29" s="10" t="inlineStr">
        <is>
          <t>шт</t>
        </is>
      </c>
      <c r="I29" s="33" t="n">
        <v>3</v>
      </c>
      <c r="J29" s="34" t="n">
        <v>800000</v>
      </c>
      <c r="K29" s="35" t="n">
        <v>2400000</v>
      </c>
      <c r="L29" s="11" t="inlineStr">
        <is>
          <t>по ДП</t>
        </is>
      </c>
    </row>
    <row r="30" ht="18" customHeight="1">
      <c r="A30" s="5" t="inlineStr">
        <is>
          <t>−1 этаж</t>
        </is>
      </c>
      <c r="B30" s="5" t="inlineStr">
        <is>
          <t>Фитнес</t>
        </is>
      </c>
      <c r="C30" s="5" t="n">
        <v>30</v>
      </c>
      <c r="D30" s="6" t="inlineStr">
        <is>
          <t>B1-SAN-018</t>
        </is>
      </c>
      <c r="E30" s="6" t="inlineStr">
        <is>
          <t>Сантехника</t>
        </is>
      </c>
      <c r="F30" s="6" t="inlineStr">
        <is>
          <t>Дозатор жидкого мыла</t>
        </is>
      </c>
      <c r="G30" s="6" t="inlineStr">
        <is>
          <t>из исходной сметы</t>
        </is>
      </c>
      <c r="H30" s="5" t="inlineStr">
        <is>
          <t>шт</t>
        </is>
      </c>
      <c r="I30" s="30" t="n">
        <v>3</v>
      </c>
      <c r="J30" s="31" t="n">
        <v>500000</v>
      </c>
      <c r="K30" s="32" t="n">
        <v>1500000</v>
      </c>
      <c r="L30" s="6" t="inlineStr">
        <is>
          <t>по ДП</t>
        </is>
      </c>
    </row>
    <row r="31" ht="18" customHeight="1">
      <c r="A31" s="10" t="inlineStr">
        <is>
          <t>−1 этаж</t>
        </is>
      </c>
      <c r="B31" s="10" t="inlineStr">
        <is>
          <t>Фитнес</t>
        </is>
      </c>
      <c r="C31" s="10" t="n">
        <v>31</v>
      </c>
      <c r="D31" s="11" t="inlineStr">
        <is>
          <t>B1-ELE-001</t>
        </is>
      </c>
      <c r="E31" s="11" t="inlineStr">
        <is>
          <t>Электрика</t>
        </is>
      </c>
      <c r="F31" s="11" t="inlineStr">
        <is>
          <t>Розетка одноместная</t>
        </is>
      </c>
      <c r="G31" s="11" t="inlineStr">
        <is>
          <t>из исходной сметы</t>
        </is>
      </c>
      <c r="H31" s="10" t="inlineStr">
        <is>
          <t>шт</t>
        </is>
      </c>
      <c r="I31" s="33" t="n">
        <v>34</v>
      </c>
      <c r="J31" s="34" t="n">
        <v>20400</v>
      </c>
      <c r="K31" s="35" t="n">
        <v>693600</v>
      </c>
      <c r="L31" s="11" t="n"/>
    </row>
    <row r="32" ht="18" customHeight="1">
      <c r="A32" s="5" t="inlineStr">
        <is>
          <t>−1 этаж</t>
        </is>
      </c>
      <c r="B32" s="5" t="inlineStr">
        <is>
          <t>Фитнес</t>
        </is>
      </c>
      <c r="C32" s="5" t="n">
        <v>32</v>
      </c>
      <c r="D32" s="6" t="inlineStr">
        <is>
          <t>B1-ELE-002</t>
        </is>
      </c>
      <c r="E32" s="6" t="inlineStr">
        <is>
          <t>Электрика</t>
        </is>
      </c>
      <c r="F32" s="6" t="inlineStr">
        <is>
          <t>Розетка влагозащищённая IP44</t>
        </is>
      </c>
      <c r="G32" s="6" t="inlineStr">
        <is>
          <t>из исходной сметы</t>
        </is>
      </c>
      <c r="H32" s="5" t="inlineStr">
        <is>
          <t>шт</t>
        </is>
      </c>
      <c r="I32" s="30" t="n">
        <v>3</v>
      </c>
      <c r="J32" s="31" t="n">
        <v>27200</v>
      </c>
      <c r="K32" s="32" t="n">
        <v>81600</v>
      </c>
      <c r="L32" s="6" t="inlineStr">
        <is>
          <t>санузлы, душевые</t>
        </is>
      </c>
    </row>
    <row r="33" ht="18" customHeight="1">
      <c r="A33" s="10" t="inlineStr">
        <is>
          <t>−1 этаж</t>
        </is>
      </c>
      <c r="B33" s="10" t="inlineStr">
        <is>
          <t>Фитнес</t>
        </is>
      </c>
      <c r="C33" s="10" t="n">
        <v>33</v>
      </c>
      <c r="D33" s="11" t="inlineStr">
        <is>
          <t>B1-ELE-003</t>
        </is>
      </c>
      <c r="E33" s="11" t="inlineStr">
        <is>
          <t>Электрика</t>
        </is>
      </c>
      <c r="F33" s="11" t="inlineStr">
        <is>
          <t>ТВ розетка</t>
        </is>
      </c>
      <c r="G33" s="11" t="inlineStr">
        <is>
          <t>из исходной сметы</t>
        </is>
      </c>
      <c r="H33" s="10" t="inlineStr">
        <is>
          <t>шт</t>
        </is>
      </c>
      <c r="I33" s="33" t="n">
        <v>2</v>
      </c>
      <c r="J33" s="34" t="n">
        <v>61300</v>
      </c>
      <c r="K33" s="35" t="n">
        <v>122600</v>
      </c>
      <c r="L33" s="11" t="n"/>
    </row>
    <row r="34" ht="18" customHeight="1">
      <c r="A34" s="5" t="inlineStr">
        <is>
          <t>−1 этаж</t>
        </is>
      </c>
      <c r="B34" s="5" t="inlineStr">
        <is>
          <t>Фитнес</t>
        </is>
      </c>
      <c r="C34" s="5" t="n">
        <v>34</v>
      </c>
      <c r="D34" s="6" t="inlineStr">
        <is>
          <t>B1-ELE-004</t>
        </is>
      </c>
      <c r="E34" s="6" t="inlineStr">
        <is>
          <t>Электрика</t>
        </is>
      </c>
      <c r="F34" s="6" t="inlineStr">
        <is>
          <t>Интернет розетка RJ-45</t>
        </is>
      </c>
      <c r="G34" s="6" t="inlineStr">
        <is>
          <t>из исходной сметы</t>
        </is>
      </c>
      <c r="H34" s="5" t="inlineStr">
        <is>
          <t>шт</t>
        </is>
      </c>
      <c r="I34" s="30" t="n">
        <v>3</v>
      </c>
      <c r="J34" s="31" t="n">
        <v>79000</v>
      </c>
      <c r="K34" s="32" t="n">
        <v>237000</v>
      </c>
      <c r="L34" s="6" t="n"/>
    </row>
    <row r="35" ht="18" customHeight="1">
      <c r="A35" s="10" t="inlineStr">
        <is>
          <t>−1 этаж</t>
        </is>
      </c>
      <c r="B35" s="10" t="inlineStr">
        <is>
          <t>Фитнес</t>
        </is>
      </c>
      <c r="C35" s="10" t="n">
        <v>35</v>
      </c>
      <c r="D35" s="11" t="inlineStr">
        <is>
          <t>B1-ELE-005</t>
        </is>
      </c>
      <c r="E35" s="11" t="inlineStr">
        <is>
          <t>Электрика</t>
        </is>
      </c>
      <c r="F35" s="11" t="inlineStr">
        <is>
          <t>HDMI розетка</t>
        </is>
      </c>
      <c r="G35" s="11" t="inlineStr">
        <is>
          <t>из исходной сметы</t>
        </is>
      </c>
      <c r="H35" s="10" t="inlineStr">
        <is>
          <t>шт</t>
        </is>
      </c>
      <c r="I35" s="33" t="n">
        <v>2</v>
      </c>
      <c r="J35" s="34" t="n">
        <v>75000</v>
      </c>
      <c r="K35" s="35" t="n">
        <v>150000</v>
      </c>
      <c r="L35" s="11" t="n"/>
    </row>
    <row r="36" ht="18" customHeight="1">
      <c r="A36" s="5" t="inlineStr">
        <is>
          <t>−1 этаж</t>
        </is>
      </c>
      <c r="B36" s="5" t="inlineStr">
        <is>
          <t>Фитнес</t>
        </is>
      </c>
      <c r="C36" s="5" t="n">
        <v>37</v>
      </c>
      <c r="D36" s="6" t="inlineStr">
        <is>
          <t>B1-ELE-007</t>
        </is>
      </c>
      <c r="E36" s="6" t="inlineStr">
        <is>
          <t>Электрика</t>
        </is>
      </c>
      <c r="F36" s="6" t="inlineStr">
        <is>
          <t>Выключатель одноклавишный</t>
        </is>
      </c>
      <c r="G36" s="6" t="inlineStr">
        <is>
          <t>из исходной сметы</t>
        </is>
      </c>
      <c r="H36" s="5" t="inlineStr">
        <is>
          <t>шт</t>
        </is>
      </c>
      <c r="I36" s="30" t="n">
        <v>8</v>
      </c>
      <c r="J36" s="31" t="n">
        <v>20400</v>
      </c>
      <c r="K36" s="32" t="n">
        <v>163200</v>
      </c>
      <c r="L36" s="6" t="n"/>
    </row>
    <row r="37" ht="18" customHeight="1">
      <c r="A37" s="10" t="inlineStr">
        <is>
          <t>−1 этаж</t>
        </is>
      </c>
      <c r="B37" s="10" t="inlineStr">
        <is>
          <t>Фитнес</t>
        </is>
      </c>
      <c r="C37" s="10" t="n">
        <v>38</v>
      </c>
      <c r="D37" s="11" t="inlineStr">
        <is>
          <t>B1-ELE-008</t>
        </is>
      </c>
      <c r="E37" s="11" t="inlineStr">
        <is>
          <t>Электрика</t>
        </is>
      </c>
      <c r="F37" s="11" t="inlineStr">
        <is>
          <t>Выключатель двухклавишный</t>
        </is>
      </c>
      <c r="G37" s="11" t="inlineStr">
        <is>
          <t>из исходной сметы</t>
        </is>
      </c>
      <c r="H37" s="10" t="inlineStr">
        <is>
          <t>шт</t>
        </is>
      </c>
      <c r="I37" s="33" t="n">
        <v>1</v>
      </c>
      <c r="J37" s="34" t="n">
        <v>23100</v>
      </c>
      <c r="K37" s="35" t="n">
        <v>23100</v>
      </c>
      <c r="L37" s="11" t="inlineStr">
        <is>
          <t>ИСПРАВЛЕНО: в РП строка дублировала одноклавишный, по УГО плана это двухклавишный</t>
        </is>
      </c>
    </row>
    <row r="38" ht="18" customHeight="1">
      <c r="A38" s="5" t="inlineStr">
        <is>
          <t>−1 этаж</t>
        </is>
      </c>
      <c r="B38" s="5" t="inlineStr">
        <is>
          <t>Фитнес</t>
        </is>
      </c>
      <c r="C38" s="5" t="n">
        <v>39</v>
      </c>
      <c r="D38" s="6" t="inlineStr">
        <is>
          <t>B1-ELE-009</t>
        </is>
      </c>
      <c r="E38" s="6" t="inlineStr">
        <is>
          <t>Электрика</t>
        </is>
      </c>
      <c r="F38" s="6" t="inlineStr">
        <is>
          <t>Рамка 1 пост</t>
        </is>
      </c>
      <c r="G38" s="6" t="inlineStr">
        <is>
          <t>из исходной сметы</t>
        </is>
      </c>
      <c r="H38" s="5" t="inlineStr">
        <is>
          <t>шт</t>
        </is>
      </c>
      <c r="I38" s="30" t="n">
        <v>17</v>
      </c>
      <c r="J38" s="31" t="n">
        <v>6100</v>
      </c>
      <c r="K38" s="32" t="n">
        <v>103700</v>
      </c>
      <c r="L38" s="6" t="inlineStr">
        <is>
          <t>15 по РП + 2 под розетки ТВ</t>
        </is>
      </c>
    </row>
    <row r="39" ht="18" customHeight="1">
      <c r="A39" s="10" t="inlineStr">
        <is>
          <t>−1 этаж</t>
        </is>
      </c>
      <c r="B39" s="10" t="inlineStr">
        <is>
          <t>Фитнес</t>
        </is>
      </c>
      <c r="C39" s="10" t="n">
        <v>40</v>
      </c>
      <c r="D39" s="11" t="inlineStr">
        <is>
          <t>B1-ELE-010</t>
        </is>
      </c>
      <c r="E39" s="11" t="inlineStr">
        <is>
          <t>Электрика</t>
        </is>
      </c>
      <c r="F39" s="11" t="inlineStr">
        <is>
          <t>Рамка 2 поста</t>
        </is>
      </c>
      <c r="G39" s="11" t="inlineStr">
        <is>
          <t>из исходной сметы</t>
        </is>
      </c>
      <c r="H39" s="10" t="inlineStr">
        <is>
          <t>шт</t>
        </is>
      </c>
      <c r="I39" s="33" t="n">
        <v>13</v>
      </c>
      <c r="J39" s="34" t="n">
        <v>16300</v>
      </c>
      <c r="K39" s="35" t="n">
        <v>211900</v>
      </c>
      <c r="L39" s="11" t="n"/>
    </row>
    <row r="40" ht="18" customHeight="1">
      <c r="A40" s="5" t="inlineStr">
        <is>
          <t>−1 этаж</t>
        </is>
      </c>
      <c r="B40" s="5" t="inlineStr">
        <is>
          <t>Фитнес</t>
        </is>
      </c>
      <c r="C40" s="5" t="n">
        <v>41</v>
      </c>
      <c r="D40" s="6" t="inlineStr">
        <is>
          <t>B1-ELE-011</t>
        </is>
      </c>
      <c r="E40" s="6" t="inlineStr">
        <is>
          <t>Электрика</t>
        </is>
      </c>
      <c r="F40" s="6" t="inlineStr">
        <is>
          <t>Рамка 4 поста</t>
        </is>
      </c>
      <c r="G40" s="6" t="inlineStr">
        <is>
          <t>из исходной сметы</t>
        </is>
      </c>
      <c r="H40" s="5" t="inlineStr">
        <is>
          <t>шт</t>
        </is>
      </c>
      <c r="I40" s="30" t="n">
        <v>3</v>
      </c>
      <c r="J40" s="31" t="n">
        <v>25900</v>
      </c>
      <c r="K40" s="32" t="n">
        <v>77700</v>
      </c>
      <c r="L40" s="6" t="n"/>
    </row>
    <row r="41" ht="18" customHeight="1">
      <c r="A41" s="10" t="inlineStr">
        <is>
          <t>−1 этаж</t>
        </is>
      </c>
      <c r="B41" s="10" t="inlineStr">
        <is>
          <t>Фитнес</t>
        </is>
      </c>
      <c r="C41" s="10" t="n">
        <v>45</v>
      </c>
      <c r="D41" s="11" t="inlineStr">
        <is>
          <t>B1-LGT-001</t>
        </is>
      </c>
      <c r="E41" s="11" t="inlineStr">
        <is>
          <t>Освещение и LED</t>
        </is>
      </c>
      <c r="F41" s="11" t="inlineStr">
        <is>
          <t>Магнитный трек 3000 мм, подвес 450 мм от потолка</t>
        </is>
      </c>
      <c r="G41" s="11" t="inlineStr">
        <is>
          <t>из исходной сметы</t>
        </is>
      </c>
      <c r="H41" s="10" t="inlineStr">
        <is>
          <t>шт</t>
        </is>
      </c>
      <c r="I41" s="33" t="n">
        <v>23</v>
      </c>
      <c r="J41" s="34" t="n">
        <v>327200</v>
      </c>
      <c r="K41" s="35" t="n">
        <v>7525600</v>
      </c>
      <c r="L41" s="11" t="n"/>
    </row>
    <row r="42" ht="18" customHeight="1">
      <c r="A42" s="5" t="inlineStr">
        <is>
          <t>−1 этаж</t>
        </is>
      </c>
      <c r="B42" s="5" t="inlineStr">
        <is>
          <t>Фитнес</t>
        </is>
      </c>
      <c r="C42" s="5" t="n">
        <v>46</v>
      </c>
      <c r="D42" s="6" t="inlineStr">
        <is>
          <t>B1-LGT-002</t>
        </is>
      </c>
      <c r="E42" s="6" t="inlineStr">
        <is>
          <t>Освещение и LED</t>
        </is>
      </c>
      <c r="F42" s="6" t="inlineStr">
        <is>
          <t>Магнитный трек 2000 мм, подвес 450 мм от потолка</t>
        </is>
      </c>
      <c r="G42" s="6" t="inlineStr">
        <is>
          <t>из исходной сметы</t>
        </is>
      </c>
      <c r="H42" s="5" t="inlineStr">
        <is>
          <t>шт</t>
        </is>
      </c>
      <c r="I42" s="30" t="n">
        <v>12</v>
      </c>
      <c r="J42" s="31" t="n">
        <v>218100</v>
      </c>
      <c r="K42" s="32" t="n">
        <v>2617200</v>
      </c>
      <c r="L42" s="6" t="n"/>
    </row>
    <row r="43" ht="18" customHeight="1">
      <c r="A43" s="10" t="inlineStr">
        <is>
          <t>−1 этаж</t>
        </is>
      </c>
      <c r="B43" s="10" t="inlineStr">
        <is>
          <t>Фитнес</t>
        </is>
      </c>
      <c r="C43" s="10" t="n">
        <v>47</v>
      </c>
      <c r="D43" s="11" t="inlineStr">
        <is>
          <t>B1-LGT-003</t>
        </is>
      </c>
      <c r="E43" s="11" t="inlineStr">
        <is>
          <t>Освещение и LED</t>
        </is>
      </c>
      <c r="F43" s="11" t="inlineStr">
        <is>
          <t>Спот поворотный магнитный (18-24 Вт)</t>
        </is>
      </c>
      <c r="G43" s="11" t="inlineStr">
        <is>
          <t>из исходной сметы</t>
        </is>
      </c>
      <c r="H43" s="10" t="inlineStr">
        <is>
          <t>шт</t>
        </is>
      </c>
      <c r="I43" s="33" t="n">
        <v>128</v>
      </c>
      <c r="J43" s="34" t="n">
        <v>177200</v>
      </c>
      <c r="K43" s="35" t="n">
        <v>22681600</v>
      </c>
      <c r="L43" s="11" t="n"/>
    </row>
    <row r="44" ht="18" customHeight="1">
      <c r="A44" s="5" t="inlineStr">
        <is>
          <t>−1 этаж</t>
        </is>
      </c>
      <c r="B44" s="5" t="inlineStr">
        <is>
          <t>Фитнес</t>
        </is>
      </c>
      <c r="C44" s="5" t="n">
        <v>48</v>
      </c>
      <c r="D44" s="6" t="inlineStr">
        <is>
          <t>B1-LGT-004</t>
        </is>
      </c>
      <c r="E44" s="6" t="inlineStr">
        <is>
          <t>Освещение и LED</t>
        </is>
      </c>
      <c r="F44" s="6" t="inlineStr">
        <is>
          <t>Светильник точечный накладной</t>
        </is>
      </c>
      <c r="G44" s="6" t="inlineStr">
        <is>
          <t>из исходной сметы</t>
        </is>
      </c>
      <c r="H44" s="5" t="inlineStr">
        <is>
          <t>шт</t>
        </is>
      </c>
      <c r="I44" s="30" t="n">
        <v>9</v>
      </c>
      <c r="J44" s="31" t="n">
        <v>218100</v>
      </c>
      <c r="K44" s="32" t="n">
        <v>1962900</v>
      </c>
      <c r="L44" s="6" t="inlineStr">
        <is>
          <t>склад, санузлы</t>
        </is>
      </c>
    </row>
    <row r="45" ht="18" customHeight="1">
      <c r="A45" s="10" t="inlineStr">
        <is>
          <t>−1 этаж</t>
        </is>
      </c>
      <c r="B45" s="10" t="inlineStr">
        <is>
          <t>Фитнес</t>
        </is>
      </c>
      <c r="C45" s="10" t="n">
        <v>49</v>
      </c>
      <c r="D45" s="11" t="inlineStr">
        <is>
          <t>B1-LGT-005</t>
        </is>
      </c>
      <c r="E45" s="11" t="inlineStr">
        <is>
          <t>Освещение и LED</t>
        </is>
      </c>
      <c r="F45" s="11" t="inlineStr">
        <is>
          <t>Бра линейное 900 мм</t>
        </is>
      </c>
      <c r="G45" s="11" t="inlineStr">
        <is>
          <t>из исходной сметы</t>
        </is>
      </c>
      <c r="H45" s="10" t="inlineStr">
        <is>
          <t>шт</t>
        </is>
      </c>
      <c r="I45" s="33" t="n">
        <v>2</v>
      </c>
      <c r="J45" s="34" t="n">
        <v>231800</v>
      </c>
      <c r="K45" s="35" t="n">
        <v>463600</v>
      </c>
      <c r="L45" s="11" t="inlineStr">
        <is>
          <t>зона лестницы</t>
        </is>
      </c>
    </row>
    <row r="46" ht="18" customHeight="1">
      <c r="A46" s="5" t="inlineStr">
        <is>
          <t>−1 этаж</t>
        </is>
      </c>
      <c r="B46" s="5" t="inlineStr">
        <is>
          <t>Фитнес</t>
        </is>
      </c>
      <c r="C46" s="5" t="n">
        <v>50</v>
      </c>
      <c r="D46" s="6" t="inlineStr">
        <is>
          <t>B1-LGT-006</t>
        </is>
      </c>
      <c r="E46" s="6" t="inlineStr">
        <is>
          <t>Освещение и LED</t>
        </is>
      </c>
      <c r="F46" s="6" t="inlineStr">
        <is>
          <t>Светильник аварийный с БАП</t>
        </is>
      </c>
      <c r="G46" s="6" t="inlineStr">
        <is>
          <t>из исходной сметы</t>
        </is>
      </c>
      <c r="H46" s="5" t="inlineStr">
        <is>
          <t>шт</t>
        </is>
      </c>
      <c r="I46" s="30" t="n">
        <v>4</v>
      </c>
      <c r="J46" s="31" t="n">
        <v>163600</v>
      </c>
      <c r="K46" s="32" t="n">
        <v>654400</v>
      </c>
      <c r="L46" s="6" t="inlineStr">
        <is>
          <t>ДОБАВЛЕНО: зал и пути эвакуации, в пределах нормы</t>
        </is>
      </c>
    </row>
    <row r="47" ht="18" customHeight="1">
      <c r="A47" s="10" t="inlineStr">
        <is>
          <t>−1 этаж</t>
        </is>
      </c>
      <c r="B47" s="10" t="inlineStr">
        <is>
          <t>Фитнес</t>
        </is>
      </c>
      <c r="C47" s="10" t="n">
        <v>51</v>
      </c>
      <c r="D47" s="11" t="inlineStr">
        <is>
          <t>B1-LGT-007</t>
        </is>
      </c>
      <c r="E47" s="11" t="inlineStr">
        <is>
          <t>Освещение и LED</t>
        </is>
      </c>
      <c r="F47" s="11" t="inlineStr">
        <is>
          <t>Указатель «ВЫХОД» с БАП</t>
        </is>
      </c>
      <c r="G47" s="11" t="inlineStr">
        <is>
          <t>из исходной сметы</t>
        </is>
      </c>
      <c r="H47" s="10" t="inlineStr">
        <is>
          <t>шт</t>
        </is>
      </c>
      <c r="I47" s="33" t="n">
        <v>2</v>
      </c>
      <c r="J47" s="34" t="n">
        <v>163600</v>
      </c>
      <c r="K47" s="35" t="n">
        <v>327200</v>
      </c>
      <c r="L47" s="11" t="inlineStr">
        <is>
          <t>ДОБАВЛЕНО: над выходом и на лестнице</t>
        </is>
      </c>
    </row>
    <row r="48" ht="18" customHeight="1">
      <c r="A48" s="5" t="inlineStr">
        <is>
          <t>−1 этаж</t>
        </is>
      </c>
      <c r="B48" s="5" t="inlineStr">
        <is>
          <t>Фитнес</t>
        </is>
      </c>
      <c r="C48" s="5" t="n">
        <v>52</v>
      </c>
      <c r="D48" s="6" t="inlineStr">
        <is>
          <t>B1-LGT-008</t>
        </is>
      </c>
      <c r="E48" s="6" t="inlineStr">
        <is>
          <t>Освещение и LED</t>
        </is>
      </c>
      <c r="F48" s="6" t="inlineStr">
        <is>
          <t>LED-лента по контурам ниш и панелей (по РП)</t>
        </is>
      </c>
      <c r="G48" s="6" t="inlineStr">
        <is>
          <t>из исходной сметы</t>
        </is>
      </c>
      <c r="H48" s="5" t="inlineStr">
        <is>
          <t>м</t>
        </is>
      </c>
      <c r="I48" s="30" t="n">
        <v>49.5</v>
      </c>
      <c r="J48" s="31" t="n">
        <v>21800</v>
      </c>
      <c r="K48" s="32" t="n">
        <v>1079100</v>
      </c>
      <c r="L48" s="6" t="inlineStr">
        <is>
          <t>30 участков по л.11</t>
        </is>
      </c>
    </row>
    <row r="49" ht="18" customHeight="1">
      <c r="A49" s="10" t="inlineStr">
        <is>
          <t>−1 этаж</t>
        </is>
      </c>
      <c r="B49" s="10" t="inlineStr">
        <is>
          <t>Фитнес</t>
        </is>
      </c>
      <c r="C49" s="10" t="n">
        <v>53</v>
      </c>
      <c r="D49" s="11" t="inlineStr">
        <is>
          <t>B1-LGT-009</t>
        </is>
      </c>
      <c r="E49" s="11" t="inlineStr">
        <is>
          <t>Освещение и LED</t>
        </is>
      </c>
      <c r="F49" s="11" t="inlineStr">
        <is>
          <t>LED-лента подсветки подступёнков лестницы</t>
        </is>
      </c>
      <c r="G49" s="11" t="inlineStr">
        <is>
          <t>из исходной сметы</t>
        </is>
      </c>
      <c r="H49" s="10" t="inlineStr">
        <is>
          <t>ступ.</t>
        </is>
      </c>
      <c r="I49" s="33" t="n">
        <v>12</v>
      </c>
      <c r="J49" s="34" t="n">
        <v>21800</v>
      </c>
      <c r="K49" s="35" t="n">
        <v>261600</v>
      </c>
      <c r="L49" s="11" t="inlineStr">
        <is>
          <t>ПРЕДВАРИТЕЛЬНО. H = ширина марша, м (жёлтая ячейка)</t>
        </is>
      </c>
    </row>
    <row r="50" ht="18" customHeight="1">
      <c r="A50" s="5" t="inlineStr">
        <is>
          <t>−1 этаж</t>
        </is>
      </c>
      <c r="B50" s="5" t="inlineStr">
        <is>
          <t>Фитнес</t>
        </is>
      </c>
      <c r="C50" s="5" t="n">
        <v>54</v>
      </c>
      <c r="D50" s="6" t="inlineStr">
        <is>
          <t>B1-LGT-010</t>
        </is>
      </c>
      <c r="E50" s="6" t="inlineStr">
        <is>
          <t>Освещение и LED</t>
        </is>
      </c>
      <c r="F50" s="6" t="inlineStr">
        <is>
          <t>LED-лента доп. контуров по факту разверток</t>
        </is>
      </c>
      <c r="G50" s="6" t="inlineStr">
        <is>
          <t>из исходной сметы</t>
        </is>
      </c>
      <c r="H50" s="5" t="inlineStr">
        <is>
          <t>м</t>
        </is>
      </c>
      <c r="I50" s="30" t="n">
        <v>40</v>
      </c>
      <c r="J50" s="31" t="n">
        <v>21800</v>
      </c>
      <c r="K50" s="32" t="n">
        <v>872000</v>
      </c>
      <c r="L50" s="6" t="inlineStr">
        <is>
          <t>ПРЕДВАРИТЕЛЬНО, уточнить по разверткам</t>
        </is>
      </c>
    </row>
    <row r="51" ht="18" customHeight="1">
      <c r="A51" s="10" t="inlineStr">
        <is>
          <t>−1 этаж</t>
        </is>
      </c>
      <c r="B51" s="10" t="inlineStr">
        <is>
          <t>Фитнес</t>
        </is>
      </c>
      <c r="C51" s="10" t="n">
        <v>56</v>
      </c>
      <c r="D51" s="11" t="inlineStr">
        <is>
          <t>B1-LGT-012</t>
        </is>
      </c>
      <c r="E51" s="11" t="inlineStr">
        <is>
          <t>Освещение и LED</t>
        </is>
      </c>
      <c r="F51" s="11" t="inlineStr">
        <is>
          <t>Блок питания магнитного трека 200 Вт</t>
        </is>
      </c>
      <c r="G51" s="11" t="inlineStr">
        <is>
          <t>из исходной сметы</t>
        </is>
      </c>
      <c r="H51" s="10" t="inlineStr">
        <is>
          <t>шт</t>
        </is>
      </c>
      <c r="I51" s="33" t="n">
        <v>14</v>
      </c>
      <c r="J51" s="34" t="n">
        <v>231800</v>
      </c>
      <c r="K51" s="35" t="n">
        <v>3245200</v>
      </c>
      <c r="L51" s="11" t="inlineStr">
        <is>
          <t>уточнить мощность спота</t>
        </is>
      </c>
    </row>
    <row r="52" ht="18" customHeight="1">
      <c r="A52" s="5" t="inlineStr">
        <is>
          <t>−1 этаж</t>
        </is>
      </c>
      <c r="B52" s="5" t="inlineStr">
        <is>
          <t>Фитнес</t>
        </is>
      </c>
      <c r="C52" s="5" t="n">
        <v>57</v>
      </c>
      <c r="D52" s="6" t="inlineStr">
        <is>
          <t>B1-LGT-013</t>
        </is>
      </c>
      <c r="E52" s="6" t="inlineStr">
        <is>
          <t>Освещение и LED</t>
        </is>
      </c>
      <c r="F52" s="6" t="inlineStr">
        <is>
          <t>Блок питания LED-ленты 200 Вт</t>
        </is>
      </c>
      <c r="G52" s="6" t="inlineStr">
        <is>
          <t>из исходной сметы</t>
        </is>
      </c>
      <c r="H52" s="5" t="inlineStr">
        <is>
          <t>шт</t>
        </is>
      </c>
      <c r="I52" s="30" t="n">
        <v>9</v>
      </c>
      <c r="J52" s="31" t="n">
        <v>163600</v>
      </c>
      <c r="K52" s="32" t="n">
        <v>1472400</v>
      </c>
      <c r="L52" s="6" t="inlineStr">
        <is>
          <t>прим. 12 РП: вывести в электрощиток</t>
        </is>
      </c>
    </row>
    <row r="53" ht="18" customHeight="1">
      <c r="A53" s="10" t="inlineStr">
        <is>
          <t>−1 этаж</t>
        </is>
      </c>
      <c r="B53" s="10" t="inlineStr">
        <is>
          <t>Фитнес</t>
        </is>
      </c>
      <c r="C53" s="10" t="n">
        <v>58</v>
      </c>
      <c r="D53" s="11" t="inlineStr">
        <is>
          <t>B1-LGT-014</t>
        </is>
      </c>
      <c r="E53" s="11" t="inlineStr">
        <is>
          <t>Освещение и LED</t>
        </is>
      </c>
      <c r="F53" s="11" t="inlineStr">
        <is>
          <t>Подвес тросовый для трека (комплект)</t>
        </is>
      </c>
      <c r="G53" s="11" t="inlineStr">
        <is>
          <t>из исходной сметы</t>
        </is>
      </c>
      <c r="H53" s="10" t="inlineStr">
        <is>
          <t>компл</t>
        </is>
      </c>
      <c r="I53" s="33" t="n">
        <v>47</v>
      </c>
      <c r="J53" s="34" t="n">
        <v>34000</v>
      </c>
      <c r="K53" s="35" t="n">
        <v>1598000</v>
      </c>
      <c r="L53" s="11" t="n"/>
    </row>
    <row r="54" ht="18" customHeight="1">
      <c r="A54" s="5" t="inlineStr">
        <is>
          <t>−1 этаж</t>
        </is>
      </c>
      <c r="B54" s="5" t="inlineStr">
        <is>
          <t>Фитнес</t>
        </is>
      </c>
      <c r="C54" s="5" t="n">
        <v>59</v>
      </c>
      <c r="D54" s="6" t="inlineStr">
        <is>
          <t>B1-LGT-015</t>
        </is>
      </c>
      <c r="E54" s="6" t="inlineStr">
        <is>
          <t>Освещение и LED</t>
        </is>
      </c>
      <c r="F54" s="6" t="inlineStr">
        <is>
          <t>Коннектор прямой / угловой для трека</t>
        </is>
      </c>
      <c r="G54" s="6" t="inlineStr">
        <is>
          <t>из исходной сметы</t>
        </is>
      </c>
      <c r="H54" s="5" t="inlineStr">
        <is>
          <t>шт</t>
        </is>
      </c>
      <c r="I54" s="30" t="n">
        <v>25</v>
      </c>
      <c r="J54" s="31" t="n">
        <v>40900</v>
      </c>
      <c r="K54" s="32" t="n">
        <v>1022500</v>
      </c>
      <c r="L54" s="6" t="inlineStr">
        <is>
          <t>уточнить по раскладке</t>
        </is>
      </c>
    </row>
    <row r="55" ht="18" customHeight="1">
      <c r="A55" s="10" t="inlineStr">
        <is>
          <t>−1 этаж</t>
        </is>
      </c>
      <c r="B55" s="10" t="inlineStr">
        <is>
          <t>Фитнес</t>
        </is>
      </c>
      <c r="C55" s="10" t="n">
        <v>61</v>
      </c>
      <c r="D55" s="11" t="inlineStr">
        <is>
          <t>B1-FIN-001</t>
        </is>
      </c>
      <c r="E55" s="11" t="inlineStr">
        <is>
          <t>Отделка (стены, потолок, полы)</t>
        </is>
      </c>
      <c r="F55" s="11" t="inlineStr">
        <is>
          <t>Покраска RAL 5024 «Тиффани тёмный»</t>
        </is>
      </c>
      <c r="G55" s="11" t="inlineStr">
        <is>
          <t>из исходной сметы</t>
        </is>
      </c>
      <c r="H55" s="10" t="inlineStr">
        <is>
          <t>м²</t>
        </is>
      </c>
      <c r="I55" s="33" t="n">
        <v>44.5</v>
      </c>
      <c r="J55" s="34" t="n">
        <v>19300</v>
      </c>
      <c r="K55" s="35" t="n">
        <v>858850</v>
      </c>
      <c r="L55" s="11" t="inlineStr">
        <is>
          <t>оставлено по РП (решение заказчика)</t>
        </is>
      </c>
    </row>
    <row r="56" ht="18" customHeight="1">
      <c r="A56" s="5" t="inlineStr">
        <is>
          <t>−1 этаж</t>
        </is>
      </c>
      <c r="B56" s="5" t="inlineStr">
        <is>
          <t>Фитнес</t>
        </is>
      </c>
      <c r="C56" s="5" t="n">
        <v>62</v>
      </c>
      <c r="D56" s="6" t="inlineStr">
        <is>
          <t>B1-FIN-002</t>
        </is>
      </c>
      <c r="E56" s="6" t="inlineStr">
        <is>
          <t>Отделка (стены, потолок, полы)</t>
        </is>
      </c>
      <c r="F56" s="6" t="inlineStr">
        <is>
          <t>Покраска RAL 9006 «белый алюминий»</t>
        </is>
      </c>
      <c r="G56" s="6" t="inlineStr">
        <is>
          <t>из исходной сметы</t>
        </is>
      </c>
      <c r="H56" s="5" t="inlineStr">
        <is>
          <t>м²</t>
        </is>
      </c>
      <c r="I56" s="30" t="n">
        <v>10.2</v>
      </c>
      <c r="J56" s="31" t="n">
        <v>29400</v>
      </c>
      <c r="K56" s="32" t="n">
        <v>299880</v>
      </c>
      <c r="L56" s="6" t="inlineStr">
        <is>
          <t>подтверждено заказчиком, наименование уточнено</t>
        </is>
      </c>
    </row>
    <row r="57" ht="18" customHeight="1">
      <c r="A57" s="10" t="inlineStr">
        <is>
          <t>−1 этаж</t>
        </is>
      </c>
      <c r="B57" s="10" t="inlineStr">
        <is>
          <t>Фитнес</t>
        </is>
      </c>
      <c r="C57" s="10" t="n">
        <v>63</v>
      </c>
      <c r="D57" s="11" t="inlineStr">
        <is>
          <t>B1-FIN-003</t>
        </is>
      </c>
      <c r="E57" s="11" t="inlineStr">
        <is>
          <t>Отделка (стены, потолок, полы)</t>
        </is>
      </c>
      <c r="F57" s="11" t="inlineStr">
        <is>
          <t>Покраска RAL 5024 «Тиффани тёмный»</t>
        </is>
      </c>
      <c r="G57" s="11" t="inlineStr">
        <is>
          <t>из исходной сметы</t>
        </is>
      </c>
      <c r="H57" s="10" t="inlineStr">
        <is>
          <t>м²</t>
        </is>
      </c>
      <c r="I57" s="33" t="n">
        <v>3.9</v>
      </c>
      <c r="J57" s="34" t="n">
        <v>21600</v>
      </c>
      <c r="K57" s="35" t="n">
        <v>84240</v>
      </c>
      <c r="L57" s="11" t="inlineStr">
        <is>
          <t>оставлено дублем по решению заказчика</t>
        </is>
      </c>
    </row>
    <row r="58" ht="18" customHeight="1">
      <c r="A58" s="5" t="inlineStr">
        <is>
          <t>−1 этаж</t>
        </is>
      </c>
      <c r="B58" s="5" t="inlineStr">
        <is>
          <t>Фитнес</t>
        </is>
      </c>
      <c r="C58" s="5" t="n">
        <v>64</v>
      </c>
      <c r="D58" s="6" t="inlineStr">
        <is>
          <t>B1-FIN-004</t>
        </is>
      </c>
      <c r="E58" s="6" t="inlineStr">
        <is>
          <t>Отделка (стены, потолок, полы)</t>
        </is>
      </c>
      <c r="F58" s="6" t="inlineStr">
        <is>
          <t>Покраска RAL 7043 (тёмно-серый)</t>
        </is>
      </c>
      <c r="G58" s="6" t="inlineStr">
        <is>
          <t>из исходной сметы</t>
        </is>
      </c>
      <c r="H58" s="5" t="inlineStr">
        <is>
          <t>м²</t>
        </is>
      </c>
      <c r="I58" s="30" t="n">
        <v>23.2</v>
      </c>
      <c r="J58" s="31" t="n">
        <v>28900</v>
      </c>
      <c r="K58" s="32" t="n">
        <v>670480</v>
      </c>
      <c r="L58" s="6" t="inlineStr">
        <is>
          <t>подтверждено заказчиком, наименование уточнено</t>
        </is>
      </c>
    </row>
    <row r="59" ht="18" customHeight="1">
      <c r="A59" s="10" t="inlineStr">
        <is>
          <t>−1 этаж</t>
        </is>
      </c>
      <c r="B59" s="10" t="inlineStr">
        <is>
          <t>Фитнес</t>
        </is>
      </c>
      <c r="C59" s="10" t="n">
        <v>69</v>
      </c>
      <c r="D59" s="11" t="inlineStr">
        <is>
          <t>B1-FIN-009</t>
        </is>
      </c>
      <c r="E59" s="11" t="inlineStr">
        <is>
          <t>Отделка (стены, потолок, полы)</t>
        </is>
      </c>
      <c r="F59" s="11" t="inlineStr">
        <is>
          <t>Потолок: окраска чёрная — только плита перекрытия и балки</t>
        </is>
      </c>
      <c r="G59" s="11" t="inlineStr">
        <is>
          <t>из исходной сметы</t>
        </is>
      </c>
      <c r="H59" s="10" t="inlineStr">
        <is>
          <t>м²</t>
        </is>
      </c>
      <c r="I59" s="33" t="n">
        <v>125.3</v>
      </c>
      <c r="J59" s="34" t="n">
        <v>8000</v>
      </c>
      <c r="K59" s="35" t="n">
        <v>1002400</v>
      </c>
      <c r="L59" s="11" t="inlineStr">
        <is>
          <t>Воздуховоды и кабельные лотки НЕ красятся, остаются в оцинковке</t>
        </is>
      </c>
    </row>
    <row r="60" ht="18" customHeight="1">
      <c r="A60" s="5" t="inlineStr">
        <is>
          <t>−1 этаж</t>
        </is>
      </c>
      <c r="B60" s="5" t="inlineStr">
        <is>
          <t>Фитнес</t>
        </is>
      </c>
      <c r="C60" s="5" t="n">
        <v>70</v>
      </c>
      <c r="D60" s="6" t="inlineStr">
        <is>
          <t>B1-FIN-010</t>
        </is>
      </c>
      <c r="E60" s="6" t="inlineStr">
        <is>
          <t>Отделка (стены, потолок, полы)</t>
        </is>
      </c>
      <c r="F60" s="6" t="inlineStr">
        <is>
          <t>Резиновое покрытие — тренажёрный зал</t>
        </is>
      </c>
      <c r="G60" s="6" t="inlineStr">
        <is>
          <t>из исходной сметы</t>
        </is>
      </c>
      <c r="H60" s="5" t="inlineStr">
        <is>
          <t>м²</t>
        </is>
      </c>
      <c r="I60" s="30" t="n">
        <v>73.64</v>
      </c>
      <c r="J60" s="31" t="n">
        <v>295000</v>
      </c>
      <c r="K60" s="32" t="n">
        <v>21723800</v>
      </c>
      <c r="L60" s="6" t="inlineStr">
        <is>
          <t>ИСПРАВЛЕНО: в РП тут значилось «перекрытие». По ДП в зале резина</t>
        </is>
      </c>
    </row>
    <row r="61" ht="18" customHeight="1">
      <c r="A61" s="10" t="inlineStr">
        <is>
          <t>−1 этаж</t>
        </is>
      </c>
      <c r="B61" s="10" t="inlineStr">
        <is>
          <t>Фитнес</t>
        </is>
      </c>
      <c r="C61" s="10" t="n">
        <v>71</v>
      </c>
      <c r="D61" s="11" t="inlineStr">
        <is>
          <t>B1-FIN-011</t>
        </is>
      </c>
      <c r="E61" s="11" t="inlineStr">
        <is>
          <t>Отделка (стены, потолок, полы)</t>
        </is>
      </c>
      <c r="F61" s="11" t="inlineStr">
        <is>
          <t>Наливной пол / микроцемент — ресепшн, раздевалка, склад, ЛК, лестница</t>
        </is>
      </c>
      <c r="G61" s="11" t="inlineStr">
        <is>
          <t>из исходной сметы</t>
        </is>
      </c>
      <c r="H61" s="10" t="inlineStr">
        <is>
          <t>м²</t>
        </is>
      </c>
      <c r="I61" s="33" t="n">
        <v>48.95</v>
      </c>
      <c r="J61" s="34" t="n">
        <v>25500</v>
      </c>
      <c r="K61" s="35" t="n">
        <v>1248225</v>
      </c>
      <c r="L61" s="11" t="inlineStr">
        <is>
          <t>ИСПРАВЛЕНО: 59,06 по РП минус 10,11 мокрых зон</t>
        </is>
      </c>
    </row>
    <row r="62" ht="18" customHeight="1">
      <c r="A62" s="5" t="inlineStr">
        <is>
          <t>−1 этаж</t>
        </is>
      </c>
      <c r="B62" s="5" t="inlineStr">
        <is>
          <t>Фитнес</t>
        </is>
      </c>
      <c r="C62" s="5" t="n">
        <v>73</v>
      </c>
      <c r="D62" s="6" t="inlineStr">
        <is>
          <t>B1-FIN-013</t>
        </is>
      </c>
      <c r="E62" s="6" t="inlineStr">
        <is>
          <t>Отделка (стены, потолок, полы)</t>
        </is>
      </c>
      <c r="F62" s="6" t="inlineStr">
        <is>
          <t>Гидроизоляция обмазочная, мокрые зоны</t>
        </is>
      </c>
      <c r="G62" s="6" t="inlineStr">
        <is>
          <t>из исходной сметы</t>
        </is>
      </c>
      <c r="H62" s="5" t="inlineStr">
        <is>
          <t>м²</t>
        </is>
      </c>
      <c r="I62" s="30" t="n">
        <v>18</v>
      </c>
      <c r="J62" s="31" t="n">
        <v>80000</v>
      </c>
      <c r="K62" s="32" t="n">
        <v>1440000</v>
      </c>
      <c r="L62" s="6" t="n"/>
    </row>
    <row r="63" ht="18" customHeight="1">
      <c r="A63" s="10" t="inlineStr">
        <is>
          <t>−1 этаж</t>
        </is>
      </c>
      <c r="B63" s="10" t="inlineStr">
        <is>
          <t>Фитнес</t>
        </is>
      </c>
      <c r="C63" s="10" t="n">
        <v>92</v>
      </c>
      <c r="D63" s="11" t="inlineStr">
        <is>
          <t>B1-EQP-001</t>
        </is>
      </c>
      <c r="E63" s="11" t="inlineStr">
        <is>
          <t>Оборудование и закупка заказчика</t>
        </is>
      </c>
      <c r="F63" s="11" t="inlineStr">
        <is>
          <t>TECHNOGYM: RUN LIVE 22 5000 — беговая дорожка, консоль LIVE 22", тюнер DVB-T2/C + IPTV</t>
        </is>
      </c>
      <c r="G63" s="11" t="inlineStr">
        <is>
          <t>КП Wellness Point: EUR со скидкой × 1,19 $/€ × 11 700</t>
        </is>
      </c>
      <c r="H63" s="10" t="inlineStr">
        <is>
          <t>шт</t>
        </is>
      </c>
      <c r="I63" s="33" t="n">
        <v>2</v>
      </c>
      <c r="J63" s="34" t="n">
        <v>207257778</v>
      </c>
      <c r="K63" s="35" t="n">
        <v>414515556</v>
      </c>
      <c r="L63" s="11" t="inlineStr">
        <is>
          <t>Нужен ТВ-сигнал или LAN на каждую. В РП и ДП дорожек 3</t>
        </is>
      </c>
    </row>
    <row r="64" ht="18" customHeight="1">
      <c r="A64" s="5" t="inlineStr">
        <is>
          <t>−1 этаж</t>
        </is>
      </c>
      <c r="B64" s="5" t="inlineStr">
        <is>
          <t>Фитнес</t>
        </is>
      </c>
      <c r="C64" s="5" t="n">
        <v>93</v>
      </c>
      <c r="D64" s="6" t="inlineStr">
        <is>
          <t>B1-EQP-002</t>
        </is>
      </c>
      <c r="E64" s="6" t="inlineStr">
        <is>
          <t>Оборудование и закупка заказчика</t>
        </is>
      </c>
      <c r="F64" s="6" t="inlineStr">
        <is>
          <t>TECHNOGYM: CABLE CROSSOVER — кроссовер, стек +100 кг</t>
        </is>
      </c>
      <c r="G64" s="6" t="inlineStr">
        <is>
          <t>КП Wellness Point: EUR со скидкой × 1,19 $/€ × 11 700</t>
        </is>
      </c>
      <c r="H64" s="5" t="inlineStr">
        <is>
          <t>шт</t>
        </is>
      </c>
      <c r="I64" s="30" t="n">
        <v>1</v>
      </c>
      <c r="J64" s="31" t="n">
        <v>135080946</v>
      </c>
      <c r="K64" s="32" t="n">
        <v>135080946</v>
      </c>
      <c r="L64" s="6" t="inlineStr">
        <is>
          <t>Фронт ~4 м. Проверить занос в подвал</t>
        </is>
      </c>
    </row>
    <row r="65" ht="18" customHeight="1">
      <c r="A65" s="10" t="inlineStr">
        <is>
          <t>−1 этаж</t>
        </is>
      </c>
      <c r="B65" s="10" t="inlineStr">
        <is>
          <t>Фитнес</t>
        </is>
      </c>
      <c r="C65" s="10" t="n">
        <v>94</v>
      </c>
      <c r="D65" s="11" t="inlineStr">
        <is>
          <t>B1-EQP-003</t>
        </is>
      </c>
      <c r="E65" s="11" t="inlineStr">
        <is>
          <t>Оборудование и закупка заказчика</t>
        </is>
      </c>
      <c r="F65" s="11" t="inlineStr">
        <is>
          <t>TECHNOGYM: Артикул без наименования (по фото — жим ногами)</t>
        </is>
      </c>
      <c r="G65" s="11" t="inlineStr">
        <is>
          <t>КП Wellness Point: EUR со скидкой × 1,19 $/€ × 11 700</t>
        </is>
      </c>
      <c r="H65" s="10" t="inlineStr">
        <is>
          <t>шт</t>
        </is>
      </c>
      <c r="I65" s="33" t="n">
        <v>1</v>
      </c>
      <c r="J65" s="34" t="n">
        <v>118415115</v>
      </c>
      <c r="K65" s="35" t="n">
        <v>118415115</v>
      </c>
      <c r="L65" s="11" t="inlineStr">
        <is>
          <t>ТРЕБОВАТЬ РАСШИФРОВКУ до договора</t>
        </is>
      </c>
    </row>
    <row r="66" ht="18" customHeight="1">
      <c r="A66" s="5" t="inlineStr">
        <is>
          <t>−1 этаж</t>
        </is>
      </c>
      <c r="B66" s="5" t="inlineStr">
        <is>
          <t>Фитнес</t>
        </is>
      </c>
      <c r="C66" s="5" t="n">
        <v>95</v>
      </c>
      <c r="D66" s="6" t="inlineStr">
        <is>
          <t>B1-EQP-004</t>
        </is>
      </c>
      <c r="E66" s="6" t="inlineStr">
        <is>
          <t>Оборудование и закупка заказчика</t>
        </is>
      </c>
      <c r="F66" s="6" t="inlineStr">
        <is>
          <t>TECHNOGYM: Артикул без наименования (по фото — жим сидя)</t>
        </is>
      </c>
      <c r="G66" s="6" t="inlineStr">
        <is>
          <t>КП Wellness Point: EUR со скидкой × 1,19 $/€ × 11 700</t>
        </is>
      </c>
      <c r="H66" s="5" t="inlineStr">
        <is>
          <t>шт</t>
        </is>
      </c>
      <c r="I66" s="30" t="n">
        <v>1</v>
      </c>
      <c r="J66" s="31" t="n">
        <v>78943410</v>
      </c>
      <c r="K66" s="32" t="n">
        <v>78943410</v>
      </c>
      <c r="L66" s="6" t="inlineStr">
        <is>
          <t>ТРЕБОВАТЬ РАСШИФРОВКУ. Возможен дубль с Hoist RPL-5303</t>
        </is>
      </c>
    </row>
    <row r="67" ht="18" customHeight="1">
      <c r="A67" s="10" t="inlineStr">
        <is>
          <t>−1 этаж</t>
        </is>
      </c>
      <c r="B67" s="10" t="inlineStr">
        <is>
          <t>Фитнес</t>
        </is>
      </c>
      <c r="C67" s="10" t="n">
        <v>96</v>
      </c>
      <c r="D67" s="11" t="inlineStr">
        <is>
          <t>B1-EQP-005</t>
        </is>
      </c>
      <c r="E67" s="11" t="inlineStr">
        <is>
          <t>Оборудование и закупка заказчика</t>
        </is>
      </c>
      <c r="F67" s="11" t="inlineStr">
        <is>
          <t>TECHNOGYM: Артикул без наименования (селективный тренажёр)</t>
        </is>
      </c>
      <c r="G67" s="11" t="inlineStr">
        <is>
          <t>КП Wellness Point: EUR со скидкой × 1,19 $/€ × 11 700</t>
        </is>
      </c>
      <c r="H67" s="10" t="inlineStr">
        <is>
          <t>шт</t>
        </is>
      </c>
      <c r="I67" s="33" t="n">
        <v>1</v>
      </c>
      <c r="J67" s="34" t="n">
        <v>78943410</v>
      </c>
      <c r="K67" s="35" t="n">
        <v>78943410</v>
      </c>
      <c r="L67" s="11" t="inlineStr">
        <is>
          <t>ТРЕБОВАТЬ РАСШИФРОВКУ</t>
        </is>
      </c>
    </row>
    <row r="68" ht="18" customHeight="1">
      <c r="A68" s="5" t="inlineStr">
        <is>
          <t>−1 этаж</t>
        </is>
      </c>
      <c r="B68" s="5" t="inlineStr">
        <is>
          <t>Фитнес</t>
        </is>
      </c>
      <c r="C68" s="5" t="n">
        <v>97</v>
      </c>
      <c r="D68" s="6" t="inlineStr">
        <is>
          <t>B1-EQP-006</t>
        </is>
      </c>
      <c r="E68" s="6" t="inlineStr">
        <is>
          <t>Оборудование и закупка заказчика</t>
        </is>
      </c>
      <c r="F68" s="6" t="inlineStr">
        <is>
          <t>TECHNOGYM: SCOTT BENCH — скамья Скотта</t>
        </is>
      </c>
      <c r="G68" s="6" t="inlineStr">
        <is>
          <t>КП Wellness Point: EUR со скидкой × 1,19 $/€ × 11 700</t>
        </is>
      </c>
      <c r="H68" s="5" t="inlineStr">
        <is>
          <t>шт</t>
        </is>
      </c>
      <c r="I68" s="30" t="n">
        <v>1</v>
      </c>
      <c r="J68" s="31" t="n">
        <v>20299734</v>
      </c>
      <c r="K68" s="32" t="n">
        <v>20299734</v>
      </c>
      <c r="L68" s="6" t="n"/>
    </row>
    <row r="69" ht="18" customHeight="1">
      <c r="A69" s="10" t="inlineStr">
        <is>
          <t>−1 этаж</t>
        </is>
      </c>
      <c r="B69" s="10" t="inlineStr">
        <is>
          <t>Фитнес</t>
        </is>
      </c>
      <c r="C69" s="10" t="n">
        <v>98</v>
      </c>
      <c r="D69" s="11" t="inlineStr">
        <is>
          <t>B1-EQP-007</t>
        </is>
      </c>
      <c r="E69" s="11" t="inlineStr">
        <is>
          <t>Оборудование и закупка заказчика</t>
        </is>
      </c>
      <c r="F69" s="11" t="inlineStr">
        <is>
          <t>TECHNOGYM: Barbell B015 — гриф</t>
        </is>
      </c>
      <c r="G69" s="11" t="inlineStr">
        <is>
          <t>КП Wellness Point: EUR со скидкой × 1,19 $/€ × 11 700</t>
        </is>
      </c>
      <c r="H69" s="10" t="inlineStr">
        <is>
          <t>шт</t>
        </is>
      </c>
      <c r="I69" s="33" t="n">
        <v>1</v>
      </c>
      <c r="J69" s="34" t="n">
        <v>4886973</v>
      </c>
      <c r="K69" s="35" t="n">
        <v>4886973</v>
      </c>
      <c r="L69" s="11" t="inlineStr">
        <is>
          <t>один гриф на зал</t>
        </is>
      </c>
    </row>
    <row r="70" ht="18" customHeight="1">
      <c r="A70" s="5" t="inlineStr">
        <is>
          <t>−1 этаж</t>
        </is>
      </c>
      <c r="B70" s="5" t="inlineStr">
        <is>
          <t>Фитнес</t>
        </is>
      </c>
      <c r="C70" s="5" t="n">
        <v>99</v>
      </c>
      <c r="D70" s="6" t="inlineStr">
        <is>
          <t>B1-EQP-008</t>
        </is>
      </c>
      <c r="E70" s="6" t="inlineStr">
        <is>
          <t>Оборудование и закупка заказчика</t>
        </is>
      </c>
      <c r="F70" s="6" t="inlineStr">
        <is>
          <t>TECHNOGYM: PLATE RACK — стойка для дисков</t>
        </is>
      </c>
      <c r="G70" s="6" t="inlineStr">
        <is>
          <t>КП Wellness Point: EUR со скидкой × 1,19 $/€ × 11 700</t>
        </is>
      </c>
      <c r="H70" s="5" t="inlineStr">
        <is>
          <t>шт</t>
        </is>
      </c>
      <c r="I70" s="30" t="n">
        <v>1</v>
      </c>
      <c r="J70" s="31" t="n">
        <v>10275174</v>
      </c>
      <c r="K70" s="32" t="n">
        <v>10275174</v>
      </c>
      <c r="L70" s="6" t="inlineStr">
        <is>
          <t>в РП и ДП стоек 2</t>
        </is>
      </c>
    </row>
    <row r="71" ht="18" customHeight="1">
      <c r="A71" s="10" t="inlineStr">
        <is>
          <t>−1 этаж</t>
        </is>
      </c>
      <c r="B71" s="10" t="inlineStr">
        <is>
          <t>Фитнес</t>
        </is>
      </c>
      <c r="C71" s="10" t="n">
        <v>100</v>
      </c>
      <c r="D71" s="11" t="inlineStr">
        <is>
          <t>B1-EQP-009</t>
        </is>
      </c>
      <c r="E71" s="11" t="inlineStr">
        <is>
          <t>Оборудование и закупка заказчика</t>
        </is>
      </c>
      <c r="F71" s="11" t="inlineStr">
        <is>
          <t>TECHNOGYM: Urethane disk 2,5 кг</t>
        </is>
      </c>
      <c r="G71" s="11" t="inlineStr">
        <is>
          <t>КП Wellness Point: EUR со скидкой × 1,19 $/€ × 11 700</t>
        </is>
      </c>
      <c r="H71" s="10" t="inlineStr">
        <is>
          <t>шт</t>
        </is>
      </c>
      <c r="I71" s="33" t="n">
        <v>2</v>
      </c>
      <c r="J71" s="34" t="n">
        <v>814495</v>
      </c>
      <c r="K71" s="35" t="n">
        <v>1628990</v>
      </c>
      <c r="L71" s="11" t="n"/>
    </row>
    <row r="72" ht="18" customHeight="1">
      <c r="A72" s="5" t="inlineStr">
        <is>
          <t>−1 этаж</t>
        </is>
      </c>
      <c r="B72" s="5" t="inlineStr">
        <is>
          <t>Фитнес</t>
        </is>
      </c>
      <c r="C72" s="5" t="n">
        <v>101</v>
      </c>
      <c r="D72" s="6" t="inlineStr">
        <is>
          <t>B1-EQP-010</t>
        </is>
      </c>
      <c r="E72" s="6" t="inlineStr">
        <is>
          <t>Оборудование и закупка заказчика</t>
        </is>
      </c>
      <c r="F72" s="6" t="inlineStr">
        <is>
          <t>TECHNOGYM: Urethane disk 5 кг</t>
        </is>
      </c>
      <c r="G72" s="6" t="inlineStr">
        <is>
          <t>КП Wellness Point: EUR со скидкой × 1,19 $/€ × 11 700</t>
        </is>
      </c>
      <c r="H72" s="5" t="inlineStr">
        <is>
          <t>шт</t>
        </is>
      </c>
      <c r="I72" s="30" t="n">
        <v>4</v>
      </c>
      <c r="J72" s="31" t="n">
        <v>1127763</v>
      </c>
      <c r="K72" s="32" t="n">
        <v>4511052</v>
      </c>
      <c r="L72" s="6" t="n"/>
    </row>
    <row r="73" ht="18" customHeight="1">
      <c r="A73" s="10" t="inlineStr">
        <is>
          <t>−1 этаж</t>
        </is>
      </c>
      <c r="B73" s="10" t="inlineStr">
        <is>
          <t>Фитнес</t>
        </is>
      </c>
      <c r="C73" s="10" t="n">
        <v>102</v>
      </c>
      <c r="D73" s="11" t="inlineStr">
        <is>
          <t>B1-EQP-011</t>
        </is>
      </c>
      <c r="E73" s="11" t="inlineStr">
        <is>
          <t>Оборудование и закупка заказчика</t>
        </is>
      </c>
      <c r="F73" s="11" t="inlineStr">
        <is>
          <t>TECHNOGYM: Urethane disk 10 кг</t>
        </is>
      </c>
      <c r="G73" s="11" t="inlineStr">
        <is>
          <t>КП Wellness Point: EUR со скидкой × 1,19 $/€ × 11 700</t>
        </is>
      </c>
      <c r="H73" s="10" t="inlineStr">
        <is>
          <t>шт</t>
        </is>
      </c>
      <c r="I73" s="33" t="n">
        <v>4</v>
      </c>
      <c r="J73" s="34" t="n">
        <v>1503684</v>
      </c>
      <c r="K73" s="35" t="n">
        <v>6014736</v>
      </c>
      <c r="L73" s="11" t="n"/>
    </row>
    <row r="74" ht="18" customHeight="1">
      <c r="A74" s="5" t="inlineStr">
        <is>
          <t>−1 этаж</t>
        </is>
      </c>
      <c r="B74" s="5" t="inlineStr">
        <is>
          <t>Фитнес</t>
        </is>
      </c>
      <c r="C74" s="5" t="n">
        <v>103</v>
      </c>
      <c r="D74" s="6" t="inlineStr">
        <is>
          <t>B1-EQP-012</t>
        </is>
      </c>
      <c r="E74" s="6" t="inlineStr">
        <is>
          <t>Оборудование и закупка заказчика</t>
        </is>
      </c>
      <c r="F74" s="6" t="inlineStr">
        <is>
          <t>TECHNOGYM: Urethane disk 20 кг</t>
        </is>
      </c>
      <c r="G74" s="6" t="inlineStr">
        <is>
          <t>КП Wellness Point: EUR со скидкой × 1,19 $/€ × 11 700</t>
        </is>
      </c>
      <c r="H74" s="5" t="inlineStr">
        <is>
          <t>шт</t>
        </is>
      </c>
      <c r="I74" s="30" t="n">
        <v>4</v>
      </c>
      <c r="J74" s="31" t="n">
        <v>2380833</v>
      </c>
      <c r="K74" s="32" t="n">
        <v>9523332</v>
      </c>
      <c r="L74" s="6" t="inlineStr">
        <is>
          <t>суммарно блинов 145 кг</t>
        </is>
      </c>
    </row>
    <row r="75" ht="18" customHeight="1">
      <c r="A75" s="10" t="inlineStr">
        <is>
          <t>−1 этаж</t>
        </is>
      </c>
      <c r="B75" s="10" t="inlineStr">
        <is>
          <t>Фитнес</t>
        </is>
      </c>
      <c r="C75" s="10" t="n">
        <v>104</v>
      </c>
      <c r="D75" s="11" t="inlineStr">
        <is>
          <t>B1-EQP-013</t>
        </is>
      </c>
      <c r="E75" s="11" t="inlineStr">
        <is>
          <t>Оборудование и закупка заказчика</t>
        </is>
      </c>
      <c r="F75" s="11" t="inlineStr">
        <is>
          <t>TECHNOGYM: INSTALLATION — сборка и пусконаладка</t>
        </is>
      </c>
      <c r="G75" s="11" t="inlineStr">
        <is>
          <t>КП Wellness Point: EUR со скидкой × 1,19 $/€ × 11 700</t>
        </is>
      </c>
      <c r="H75" s="10" t="inlineStr">
        <is>
          <t>усл</t>
        </is>
      </c>
      <c r="I75" s="33" t="n">
        <v>1</v>
      </c>
      <c r="J75" s="34" t="n">
        <v>13672386</v>
      </c>
      <c r="K75" s="35" t="n">
        <v>13672386</v>
      </c>
      <c r="L75" s="11" t="inlineStr">
        <is>
          <t>скидка не применяется; посчитано под Ташкент</t>
        </is>
      </c>
    </row>
    <row r="76" ht="18" customHeight="1">
      <c r="A76" s="5" t="inlineStr">
        <is>
          <t>−1 этаж</t>
        </is>
      </c>
      <c r="B76" s="5" t="inlineStr">
        <is>
          <t>Фитнес</t>
        </is>
      </c>
      <c r="C76" s="5" t="n">
        <v>105</v>
      </c>
      <c r="D76" s="6" t="inlineStr">
        <is>
          <t>B1-EQP-014</t>
        </is>
      </c>
      <c r="E76" s="6" t="inlineStr">
        <is>
          <t>Оборудование и закупка заказчика</t>
        </is>
      </c>
      <c r="F76" s="6" t="inlineStr">
        <is>
          <t>HOIST: Жим от груди вверх Hoist RPL-5303 (нагрузка блинами)</t>
        </is>
      </c>
      <c r="G76" s="6" t="inlineStr">
        <is>
          <t>КП MFITNESS: 5 540 $ × 11 700</t>
        </is>
      </c>
      <c r="H76" s="5" t="inlineStr">
        <is>
          <t>шт</t>
        </is>
      </c>
      <c r="I76" s="30" t="n">
        <v>1</v>
      </c>
      <c r="J76" s="31" t="n">
        <v>64818000</v>
      </c>
      <c r="K76" s="32" t="n">
        <v>64818000</v>
      </c>
      <c r="L76" s="6" t="inlineStr">
        <is>
          <t>Дублирует MNFCNN0CHDITAN10 из КП-1 — проверить</t>
        </is>
      </c>
    </row>
    <row r="77" ht="18" customHeight="1">
      <c r="A77" s="10" t="inlineStr">
        <is>
          <t>−1 этаж</t>
        </is>
      </c>
      <c r="B77" s="10" t="inlineStr">
        <is>
          <t>Фитнес</t>
        </is>
      </c>
      <c r="C77" s="10" t="n">
        <v>106</v>
      </c>
      <c r="D77" s="11" t="inlineStr">
        <is>
          <t>B1-EQP-015</t>
        </is>
      </c>
      <c r="E77" s="11" t="inlineStr">
        <is>
          <t>Оборудование и закупка заказчика</t>
        </is>
      </c>
      <c r="F77" s="11" t="inlineStr">
        <is>
          <t>HOIST: Жим от груди вниз Hoist RPL-5305</t>
        </is>
      </c>
      <c r="G77" s="11" t="inlineStr">
        <is>
          <t>КП MFITNESS: 5 540 $ × 11 700</t>
        </is>
      </c>
      <c r="H77" s="10" t="inlineStr">
        <is>
          <t>шт</t>
        </is>
      </c>
      <c r="I77" s="33" t="n">
        <v>1</v>
      </c>
      <c r="J77" s="34" t="n">
        <v>64818000</v>
      </c>
      <c r="K77" s="35" t="n">
        <v>64818000</v>
      </c>
      <c r="L77" s="11" t="inlineStr">
        <is>
          <t>блины к нему не заложены</t>
        </is>
      </c>
    </row>
    <row r="78" ht="18" customHeight="1">
      <c r="A78" s="5" t="inlineStr">
        <is>
          <t>−1 этаж</t>
        </is>
      </c>
      <c r="B78" s="5" t="inlineStr">
        <is>
          <t>Фитнес</t>
        </is>
      </c>
      <c r="C78" s="5" t="n">
        <v>107</v>
      </c>
      <c r="D78" s="6" t="inlineStr">
        <is>
          <t>B1-EQP-016</t>
        </is>
      </c>
      <c r="E78" s="6" t="inlineStr">
        <is>
          <t>Оборудование и закупка заказчика</t>
        </is>
      </c>
      <c r="F78" s="6" t="inlineStr">
        <is>
          <t>HOIST: Гребная тяга сидя Hoist RPL-5203</t>
        </is>
      </c>
      <c r="G78" s="6" t="inlineStr">
        <is>
          <t>КП MFITNESS: 5 540 $ × 11 700</t>
        </is>
      </c>
      <c r="H78" s="5" t="inlineStr">
        <is>
          <t>шт</t>
        </is>
      </c>
      <c r="I78" s="30" t="n">
        <v>1</v>
      </c>
      <c r="J78" s="31" t="n">
        <v>64818000</v>
      </c>
      <c r="K78" s="32" t="n">
        <v>64818000</v>
      </c>
      <c r="L78" s="6" t="inlineStr">
        <is>
          <t>блины к нему не заложены</t>
        </is>
      </c>
    </row>
    <row r="79" ht="18" customHeight="1">
      <c r="A79" s="10" t="inlineStr">
        <is>
          <t>2 этаж</t>
        </is>
      </c>
      <c r="B79" s="10" t="inlineStr">
        <is>
          <t>Студия</t>
        </is>
      </c>
      <c r="C79" s="10" t="n">
        <v>115</v>
      </c>
      <c r="D79" s="11" t="inlineStr">
        <is>
          <t>L2-PER-008</t>
        </is>
      </c>
      <c r="E79" s="11" t="inlineStr">
        <is>
          <t>Перегородки, двери, остекление</t>
        </is>
      </c>
      <c r="F79" s="11" t="inlineStr">
        <is>
          <t>Дверь в кабинет топ-мастера 1 (пом. 4) (800 × 2200)</t>
        </is>
      </c>
      <c r="G79" s="11" t="inlineStr">
        <is>
          <t>из исходной сметы</t>
        </is>
      </c>
      <c r="H79" s="10" t="inlineStr">
        <is>
          <t>шт</t>
        </is>
      </c>
      <c r="I79" s="33" t="n">
        <v>1</v>
      </c>
      <c r="J79" s="34" t="n">
        <v>7605000</v>
      </c>
      <c r="K79" s="35" t="n">
        <v>7605000</v>
      </c>
      <c r="L79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0" ht="18" customHeight="1">
      <c r="A80" s="5" t="inlineStr">
        <is>
          <t>2 этаж</t>
        </is>
      </c>
      <c r="B80" s="5" t="inlineStr">
        <is>
          <t>Студия</t>
        </is>
      </c>
      <c r="C80" s="5" t="n">
        <v>116</v>
      </c>
      <c r="D80" s="6" t="inlineStr">
        <is>
          <t>L2-PER-009</t>
        </is>
      </c>
      <c r="E80" s="6" t="inlineStr">
        <is>
          <t>Перегородки, двери, остекление</t>
        </is>
      </c>
      <c r="F80" s="6" t="inlineStr">
        <is>
          <t>Дверь в кабинет топ-мастера 2 (пом. 5) (800 × 2200)</t>
        </is>
      </c>
      <c r="G80" s="6" t="inlineStr">
        <is>
          <t>из исходной сметы</t>
        </is>
      </c>
      <c r="H80" s="5" t="inlineStr">
        <is>
          <t>шт</t>
        </is>
      </c>
      <c r="I80" s="30" t="n">
        <v>1</v>
      </c>
      <c r="J80" s="31" t="n">
        <v>7605000</v>
      </c>
      <c r="K80" s="32" t="n">
        <v>7605000</v>
      </c>
      <c r="L80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1" ht="18" customHeight="1">
      <c r="A81" s="10" t="inlineStr">
        <is>
          <t>2 этаж</t>
        </is>
      </c>
      <c r="B81" s="10" t="inlineStr">
        <is>
          <t>Студия</t>
        </is>
      </c>
      <c r="C81" s="10" t="n">
        <v>117</v>
      </c>
      <c r="D81" s="11" t="inlineStr">
        <is>
          <t>L2-PER-010</t>
        </is>
      </c>
      <c r="E81" s="11" t="inlineStr">
        <is>
          <t>Перегородки, двери, остекление</t>
        </is>
      </c>
      <c r="F81" s="11" t="inlineStr">
        <is>
          <t>Дверь в зону отдыха / мини-кухню (пом. 6) (800 × 2200)</t>
        </is>
      </c>
      <c r="G81" s="11" t="inlineStr">
        <is>
          <t>из исходной сметы</t>
        </is>
      </c>
      <c r="H81" s="10" t="inlineStr">
        <is>
          <t>шт</t>
        </is>
      </c>
      <c r="I81" s="33" t="n">
        <v>1</v>
      </c>
      <c r="J81" s="34" t="n">
        <v>7605000</v>
      </c>
      <c r="K81" s="35" t="n">
        <v>7605000</v>
      </c>
      <c r="L81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2" ht="18" customHeight="1">
      <c r="A82" s="5" t="inlineStr">
        <is>
          <t>2 этаж</t>
        </is>
      </c>
      <c r="B82" s="5" t="inlineStr">
        <is>
          <t>Студия</t>
        </is>
      </c>
      <c r="C82" s="5" t="n">
        <v>118</v>
      </c>
      <c r="D82" s="6" t="inlineStr">
        <is>
          <t>L2-PER-011</t>
        </is>
      </c>
      <c r="E82" s="6" t="inlineStr">
        <is>
          <t>Перегородки, двери, остекление</t>
        </is>
      </c>
      <c r="F82" s="6" t="inlineStr">
        <is>
          <t>Дверь в стерилизацию (пом. 7) (800 × 2200)</t>
        </is>
      </c>
      <c r="G82" s="6" t="inlineStr">
        <is>
          <t>из исходной сметы</t>
        </is>
      </c>
      <c r="H82" s="5" t="inlineStr">
        <is>
          <t>шт</t>
        </is>
      </c>
      <c r="I82" s="30" t="n">
        <v>1</v>
      </c>
      <c r="J82" s="31" t="n">
        <v>7605000</v>
      </c>
      <c r="K82" s="32" t="n">
        <v>7605000</v>
      </c>
      <c r="L82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3" ht="18" customHeight="1">
      <c r="A83" s="10" t="inlineStr">
        <is>
          <t>2 этаж</t>
        </is>
      </c>
      <c r="B83" s="10" t="inlineStr">
        <is>
          <t>Студия</t>
        </is>
      </c>
      <c r="C83" s="10" t="n">
        <v>119</v>
      </c>
      <c r="D83" s="11" t="inlineStr">
        <is>
          <t>L2-PER-012</t>
        </is>
      </c>
      <c r="E83" s="11" t="inlineStr">
        <is>
          <t>Перегородки, двери, остекление</t>
        </is>
      </c>
      <c r="F83" s="11" t="inlineStr">
        <is>
          <t>Дверь в умывальную зону С/У (пом. 8) (800 × 2200)</t>
        </is>
      </c>
      <c r="G83" s="11" t="inlineStr">
        <is>
          <t>из исходной сметы</t>
        </is>
      </c>
      <c r="H83" s="10" t="inlineStr">
        <is>
          <t>шт</t>
        </is>
      </c>
      <c r="I83" s="33" t="n">
        <v>1</v>
      </c>
      <c r="J83" s="34" t="n">
        <v>7605000</v>
      </c>
      <c r="K83" s="35" t="n">
        <v>7605000</v>
      </c>
      <c r="L83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4" ht="18" customHeight="1">
      <c r="A84" s="5" t="inlineStr">
        <is>
          <t>2 этаж</t>
        </is>
      </c>
      <c r="B84" s="5" t="inlineStr">
        <is>
          <t>Студия</t>
        </is>
      </c>
      <c r="C84" s="5" t="n">
        <v>120</v>
      </c>
      <c r="D84" s="6" t="inlineStr">
        <is>
          <t>L2-PER-013</t>
        </is>
      </c>
      <c r="E84" s="6" t="inlineStr">
        <is>
          <t>Перегородки, двери, остекление</t>
        </is>
      </c>
      <c r="F84" s="6" t="inlineStr">
        <is>
          <t>Дверь в туалетную кабину С/У (пом. 8) (800 × 2200)</t>
        </is>
      </c>
      <c r="G84" s="6" t="inlineStr">
        <is>
          <t>из исходной сметы</t>
        </is>
      </c>
      <c r="H84" s="5" t="inlineStr">
        <is>
          <t>шт</t>
        </is>
      </c>
      <c r="I84" s="30" t="n">
        <v>1</v>
      </c>
      <c r="J84" s="31" t="n">
        <v>7605000</v>
      </c>
      <c r="K84" s="32" t="n">
        <v>7605000</v>
      </c>
      <c r="L84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5" ht="18" customHeight="1">
      <c r="A85" s="10" t="inlineStr">
        <is>
          <t>2 этаж</t>
        </is>
      </c>
      <c r="B85" s="10" t="inlineStr">
        <is>
          <t>Студия</t>
        </is>
      </c>
      <c r="C85" s="10" t="n">
        <v>121</v>
      </c>
      <c r="D85" s="11" t="inlineStr">
        <is>
          <t>L2-PER-014</t>
        </is>
      </c>
      <c r="E85" s="11" t="inlineStr">
        <is>
          <t>Перегородки, двери, остекление</t>
        </is>
      </c>
      <c r="F85" s="11" t="inlineStr">
        <is>
          <t>Дверь в Smoking room (пом. 9) (800 × 2200)</t>
        </is>
      </c>
      <c r="G85" s="11" t="inlineStr">
        <is>
          <t>из исходной сметы</t>
        </is>
      </c>
      <c r="H85" s="10" t="inlineStr">
        <is>
          <t>шт</t>
        </is>
      </c>
      <c r="I85" s="33" t="n">
        <v>1</v>
      </c>
      <c r="J85" s="34" t="n">
        <v>7605000</v>
      </c>
      <c r="K85" s="35" t="n">
        <v>7605000</v>
      </c>
      <c r="L85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6" ht="18" customHeight="1">
      <c r="A86" s="5" t="inlineStr">
        <is>
          <t>2 этаж</t>
        </is>
      </c>
      <c r="B86" s="5" t="inlineStr">
        <is>
          <t>Студия</t>
        </is>
      </c>
      <c r="C86" s="5" t="n">
        <v>122</v>
      </c>
      <c r="D86" s="6" t="inlineStr">
        <is>
          <t>L2-PER-015</t>
        </is>
      </c>
      <c r="E86" s="6" t="inlineStr">
        <is>
          <t>Перегородки, двери, остекление</t>
        </is>
      </c>
      <c r="F86" s="6" t="inlineStr">
        <is>
          <t>Дверь в склад (пом. 10) (800 × 2200)</t>
        </is>
      </c>
      <c r="G86" s="6" t="inlineStr">
        <is>
          <t>из исходной сметы</t>
        </is>
      </c>
      <c r="H86" s="5" t="inlineStr">
        <is>
          <t>шт</t>
        </is>
      </c>
      <c r="I86" s="30" t="n">
        <v>1</v>
      </c>
      <c r="J86" s="31" t="n">
        <v>7605000</v>
      </c>
      <c r="K86" s="32" t="n">
        <v>7605000</v>
      </c>
      <c r="L86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7" ht="18" customHeight="1">
      <c r="A87" s="10" t="inlineStr">
        <is>
          <t>2 этаж</t>
        </is>
      </c>
      <c r="B87" s="10" t="inlineStr">
        <is>
          <t>Студия</t>
        </is>
      </c>
      <c r="C87" s="10" t="n">
        <v>127</v>
      </c>
      <c r="D87" s="11" t="inlineStr">
        <is>
          <t>L2-SAN-001</t>
        </is>
      </c>
      <c r="E87" s="11" t="inlineStr">
        <is>
          <t>Сантехника</t>
        </is>
      </c>
      <c r="F87" s="11" t="inlineStr">
        <is>
          <t>Кухонный смеситель</t>
        </is>
      </c>
      <c r="G87" s="11" t="inlineStr">
        <is>
          <t>из исходной сметы</t>
        </is>
      </c>
      <c r="H87" s="10" t="inlineStr">
        <is>
          <t>шт</t>
        </is>
      </c>
      <c r="I87" s="33" t="n">
        <v>2</v>
      </c>
      <c r="J87" s="34" t="n">
        <v>1200000</v>
      </c>
      <c r="K87" s="35" t="n">
        <v>2400000</v>
      </c>
      <c r="L87" s="11" t="inlineStr">
        <is>
          <t>1ГВС+1ХВС h=600, слив h=500. АНАЛОГ: цена с фитнеса -1 эт. С-13 «смеситель для раковины» — кухонный может быть дороже, проверить</t>
        </is>
      </c>
    </row>
    <row r="88" ht="18" customHeight="1">
      <c r="A88" s="5" t="inlineStr">
        <is>
          <t>2 этаж</t>
        </is>
      </c>
      <c r="B88" s="5" t="inlineStr">
        <is>
          <t>Студия</t>
        </is>
      </c>
      <c r="C88" s="5" t="n">
        <v>128</v>
      </c>
      <c r="D88" s="6" t="inlineStr">
        <is>
          <t>L2-SAN-002</t>
        </is>
      </c>
      <c r="E88" s="6" t="inlineStr">
        <is>
          <t>Сантехника</t>
        </is>
      </c>
      <c r="F88" s="6" t="inlineStr">
        <is>
          <t>Накладной смеситель 1</t>
        </is>
      </c>
      <c r="G88" s="6" t="inlineStr">
        <is>
          <t>из исходной сметы</t>
        </is>
      </c>
      <c r="H88" s="5" t="inlineStr">
        <is>
          <t>шт</t>
        </is>
      </c>
      <c r="I88" s="30" t="n">
        <v>4</v>
      </c>
      <c r="J88" s="31" t="n">
        <v>1200000</v>
      </c>
      <c r="K88" s="32" t="n">
        <v>4800000</v>
      </c>
      <c r="L88" s="6" t="inlineStr">
        <is>
          <t>Слив в ГКЛ-короб / h=500. АНАЛОГ: цена с фитнеса -1 эт. С-13 «смеситель для раковины»</t>
        </is>
      </c>
    </row>
    <row r="89" ht="18" customHeight="1">
      <c r="A89" s="10" t="inlineStr">
        <is>
          <t>2 этаж</t>
        </is>
      </c>
      <c r="B89" s="10" t="inlineStr">
        <is>
          <t>Студия</t>
        </is>
      </c>
      <c r="C89" s="10" t="n">
        <v>129</v>
      </c>
      <c r="D89" s="11" t="inlineStr">
        <is>
          <t>L2-SAN-003</t>
        </is>
      </c>
      <c r="E89" s="11" t="inlineStr">
        <is>
          <t>Сантехника</t>
        </is>
      </c>
      <c r="F89" s="11" t="inlineStr">
        <is>
          <t>Накладной смеситель 2</t>
        </is>
      </c>
      <c r="G89" s="11" t="inlineStr">
        <is>
          <t>из исходной сметы</t>
        </is>
      </c>
      <c r="H89" s="10" t="inlineStr">
        <is>
          <t>шт</t>
        </is>
      </c>
      <c r="I89" s="33" t="n">
        <v>4</v>
      </c>
      <c r="J89" s="34" t="n">
        <v>1200000</v>
      </c>
      <c r="K89" s="35" t="n">
        <v>4800000</v>
      </c>
      <c r="L89" s="11" t="inlineStr">
        <is>
          <t>1ГВС+1ХВС h=600, слив h=500. АНАЛОГ: цена с фитнеса -1 эт. С-13 «смеситель для раковины»</t>
        </is>
      </c>
    </row>
    <row r="90" ht="18" customHeight="1">
      <c r="A90" s="5" t="inlineStr">
        <is>
          <t>2 этаж</t>
        </is>
      </c>
      <c r="B90" s="5" t="inlineStr">
        <is>
          <t>Студия</t>
        </is>
      </c>
      <c r="C90" s="5" t="n">
        <v>130</v>
      </c>
      <c r="D90" s="6" t="inlineStr">
        <is>
          <t>L2-SAN-004</t>
        </is>
      </c>
      <c r="E90" s="6" t="inlineStr">
        <is>
          <t>Сантехника</t>
        </is>
      </c>
      <c r="F90" s="6" t="inlineStr">
        <is>
          <t>Накладной смеситель 3</t>
        </is>
      </c>
      <c r="G90" s="6" t="inlineStr">
        <is>
          <t>из исходной сметы</t>
        </is>
      </c>
      <c r="H90" s="5" t="inlineStr">
        <is>
          <t>шт</t>
        </is>
      </c>
      <c r="I90" s="30" t="n">
        <v>2</v>
      </c>
      <c r="J90" s="31" t="n">
        <v>1200000</v>
      </c>
      <c r="K90" s="32" t="n">
        <v>2400000</v>
      </c>
      <c r="L90" s="6" t="inlineStr">
        <is>
          <t>Слив в ГКЛ-короб. АНАЛОГ: цена с фитнеса -1 эт. С-13 «смеситель для раковины»</t>
        </is>
      </c>
    </row>
    <row r="91" ht="18" customHeight="1">
      <c r="A91" s="10" t="inlineStr">
        <is>
          <t>2 этаж</t>
        </is>
      </c>
      <c r="B91" s="10" t="inlineStr">
        <is>
          <t>Студия</t>
        </is>
      </c>
      <c r="C91" s="10" t="n">
        <v>135</v>
      </c>
      <c r="D91" s="11" t="inlineStr">
        <is>
          <t>L2-SAN-009</t>
        </is>
      </c>
      <c r="E91" s="11" t="inlineStr">
        <is>
          <t>Сантехника</t>
        </is>
      </c>
      <c r="F91" s="11" t="inlineStr">
        <is>
          <t>Раковина, встроенная в ГКЛ-короб (кабинеты) (350 × 300)</t>
        </is>
      </c>
      <c r="G91" s="11" t="inlineStr">
        <is>
          <t>из исходной сметы</t>
        </is>
      </c>
      <c r="H91" s="10" t="inlineStr">
        <is>
          <t>шт</t>
        </is>
      </c>
      <c r="I91" s="33" t="n">
        <v>2</v>
      </c>
      <c r="J91" s="34" t="n">
        <v>1500000</v>
      </c>
      <c r="K91" s="35" t="n">
        <v>3000000</v>
      </c>
      <c r="L91" s="11" t="inlineStr">
        <is>
          <t>Пом. 4 и 5, в поддоне. АНАЛОГ: цена с фитнеса -1 эт. С-2 «раковина встраиваемая» (там 3 шт, габарит не указан)</t>
        </is>
      </c>
    </row>
    <row r="92" ht="18" customHeight="1">
      <c r="A92" s="5" t="inlineStr">
        <is>
          <t>2 этаж</t>
        </is>
      </c>
      <c r="B92" s="5" t="inlineStr">
        <is>
          <t>Студия</t>
        </is>
      </c>
      <c r="C92" s="5" t="n">
        <v>136</v>
      </c>
      <c r="D92" s="6" t="inlineStr">
        <is>
          <t>L2-SAN-010</t>
        </is>
      </c>
      <c r="E92" s="6" t="inlineStr">
        <is>
          <t>Сантехника</t>
        </is>
      </c>
      <c r="F92" s="6" t="inlineStr">
        <is>
          <t>Гигиенический душ</t>
        </is>
      </c>
      <c r="G92" s="6" t="inlineStr">
        <is>
          <t>из исходной сметы</t>
        </is>
      </c>
      <c r="H92" s="5" t="inlineStr">
        <is>
          <t>шт</t>
        </is>
      </c>
      <c r="I92" s="30" t="n">
        <v>1</v>
      </c>
      <c r="J92" s="31" t="n">
        <v>700000</v>
      </c>
      <c r="K92" s="32" t="n">
        <v>700000</v>
      </c>
      <c r="L92" s="6" t="inlineStr">
        <is>
          <t>h=700. Цена с фитнеса -1 эт., С-5</t>
        </is>
      </c>
    </row>
    <row r="93" ht="18" customHeight="1">
      <c r="A93" s="10" t="inlineStr">
        <is>
          <t>2 этаж</t>
        </is>
      </c>
      <c r="B93" s="10" t="inlineStr">
        <is>
          <t>Студия</t>
        </is>
      </c>
      <c r="C93" s="10" t="n">
        <v>137</v>
      </c>
      <c r="D93" s="11" t="inlineStr">
        <is>
          <t>L2-SAN-011</t>
        </is>
      </c>
      <c r="E93" s="11" t="inlineStr">
        <is>
          <t>Сантехника</t>
        </is>
      </c>
      <c r="F93" s="11" t="inlineStr">
        <is>
          <t>Подвесной унитаз</t>
        </is>
      </c>
      <c r="G93" s="11" t="inlineStr">
        <is>
          <t>из исходной сметы</t>
        </is>
      </c>
      <c r="H93" s="10" t="inlineStr">
        <is>
          <t>шт</t>
        </is>
      </c>
      <c r="I93" s="33" t="n">
        <v>1</v>
      </c>
      <c r="J93" s="34" t="n">
        <v>3000000</v>
      </c>
      <c r="K93" s="35" t="n">
        <v>3000000</v>
      </c>
      <c r="L93" s="11" t="inlineStr">
        <is>
          <t>Цена с фитнеса -1 эт., С-3</t>
        </is>
      </c>
    </row>
    <row r="94" ht="18" customHeight="1">
      <c r="A94" s="5" t="inlineStr">
        <is>
          <t>2 этаж</t>
        </is>
      </c>
      <c r="B94" s="5" t="inlineStr">
        <is>
          <t>Студия</t>
        </is>
      </c>
      <c r="C94" s="5" t="n">
        <v>138</v>
      </c>
      <c r="D94" s="6" t="inlineStr">
        <is>
          <t>L2-SAN-012</t>
        </is>
      </c>
      <c r="E94" s="6" t="inlineStr">
        <is>
          <t>Сантехника</t>
        </is>
      </c>
      <c r="F94" s="6" t="inlineStr">
        <is>
          <t>Инсталляция для унитаза</t>
        </is>
      </c>
      <c r="G94" s="6" t="inlineStr">
        <is>
          <t>из исходной сметы</t>
        </is>
      </c>
      <c r="H94" s="5" t="inlineStr">
        <is>
          <t>шт</t>
        </is>
      </c>
      <c r="I94" s="30" t="n">
        <v>1</v>
      </c>
      <c r="J94" s="31" t="n">
        <v>3250000</v>
      </c>
      <c r="K94" s="32" t="n">
        <v>3250000</v>
      </c>
      <c r="L94" s="6" t="inlineStr">
        <is>
          <t>Обшивка ГКЛ 2 слоя, h=1200. Цена с фитнеса -1 эт., С-6</t>
        </is>
      </c>
    </row>
    <row r="95" ht="18" customHeight="1">
      <c r="A95" s="10" t="inlineStr">
        <is>
          <t>2 этаж</t>
        </is>
      </c>
      <c r="B95" s="10" t="inlineStr">
        <is>
          <t>Студия</t>
        </is>
      </c>
      <c r="C95" s="10" t="n">
        <v>139</v>
      </c>
      <c r="D95" s="11" t="inlineStr">
        <is>
          <t>L2-SAN-013</t>
        </is>
      </c>
      <c r="E95" s="11" t="inlineStr">
        <is>
          <t>Сантехника</t>
        </is>
      </c>
      <c r="F95" s="11" t="inlineStr">
        <is>
          <t>Кнопка слива</t>
        </is>
      </c>
      <c r="G95" s="11" t="inlineStr">
        <is>
          <t>из исходной сметы</t>
        </is>
      </c>
      <c r="H95" s="10" t="inlineStr">
        <is>
          <t>шт</t>
        </is>
      </c>
      <c r="I95" s="33" t="n">
        <v>1</v>
      </c>
      <c r="J95" s="34" t="n">
        <v>650000</v>
      </c>
      <c r="K95" s="35" t="n">
        <v>650000</v>
      </c>
      <c r="L95" s="11" t="inlineStr">
        <is>
          <t>Цена с фитнеса -1 эт., С-16 (клавиша чёрная)</t>
        </is>
      </c>
    </row>
    <row r="96" ht="18" customHeight="1">
      <c r="A96" s="5" t="inlineStr">
        <is>
          <t>2 этаж</t>
        </is>
      </c>
      <c r="B96" s="5" t="inlineStr">
        <is>
          <t>Студия</t>
        </is>
      </c>
      <c r="C96" s="5" t="n">
        <v>140</v>
      </c>
      <c r="D96" s="6" t="inlineStr">
        <is>
          <t>L2-ELE-001</t>
        </is>
      </c>
      <c r="E96" s="6" t="inlineStr">
        <is>
          <t>Электрика</t>
        </is>
      </c>
      <c r="F96" s="6" t="inlineStr">
        <is>
          <t>Одноклавишный выключатель (чёрный)</t>
        </is>
      </c>
      <c r="G96" s="6" t="inlineStr">
        <is>
          <t>из исходной сметы</t>
        </is>
      </c>
      <c r="H96" s="5" t="inlineStr">
        <is>
          <t>шт</t>
        </is>
      </c>
      <c r="I96" s="30" t="n">
        <v>8</v>
      </c>
      <c r="J96" s="31" t="n">
        <v>20400</v>
      </c>
      <c r="K96" s="32" t="n">
        <v>163200</v>
      </c>
      <c r="L96" s="6" t="inlineStr">
        <is>
          <t>Цена по КП №1409-1 от 14.09.2026</t>
        </is>
      </c>
    </row>
    <row r="97" ht="18" customHeight="1">
      <c r="A97" s="10" t="inlineStr">
        <is>
          <t>2 этаж</t>
        </is>
      </c>
      <c r="B97" s="10" t="inlineStr">
        <is>
          <t>Студия</t>
        </is>
      </c>
      <c r="C97" s="10" t="n">
        <v>141</v>
      </c>
      <c r="D97" s="11" t="inlineStr">
        <is>
          <t>L2-ELE-002</t>
        </is>
      </c>
      <c r="E97" s="11" t="inlineStr">
        <is>
          <t>Электрика</t>
        </is>
      </c>
      <c r="F97" s="11" t="inlineStr">
        <is>
          <t>Двухклавишный выключатель (чёрный)</t>
        </is>
      </c>
      <c r="G97" s="11" t="inlineStr">
        <is>
          <t>из исходной сметы</t>
        </is>
      </c>
      <c r="H97" s="10" t="inlineStr">
        <is>
          <t>шт</t>
        </is>
      </c>
      <c r="I97" s="33" t="n">
        <v>30</v>
      </c>
      <c r="J97" s="34" t="n">
        <v>23100</v>
      </c>
      <c r="K97" s="35" t="n">
        <v>693000</v>
      </c>
      <c r="L97" s="11" t="inlineStr">
        <is>
          <t>Две группы света на помещение (л.14). Цена по КП</t>
        </is>
      </c>
    </row>
    <row r="98" ht="18" customHeight="1">
      <c r="A98" s="5" t="inlineStr">
        <is>
          <t>2 этаж</t>
        </is>
      </c>
      <c r="B98" s="5" t="inlineStr">
        <is>
          <t>Студия</t>
        </is>
      </c>
      <c r="C98" s="5" t="n">
        <v>142</v>
      </c>
      <c r="D98" s="6" t="inlineStr">
        <is>
          <t>L2-ELE-003</t>
        </is>
      </c>
      <c r="E98" s="6" t="inlineStr">
        <is>
          <t>Электрика</t>
        </is>
      </c>
      <c r="F98" s="6" t="inlineStr">
        <is>
          <t>Розетка 220 В с заземлением (чёрная)</t>
        </is>
      </c>
      <c r="G98" s="6" t="inlineStr">
        <is>
          <t>из исходной сметы</t>
        </is>
      </c>
      <c r="H98" s="5" t="inlineStr">
        <is>
          <t>шт</t>
        </is>
      </c>
      <c r="I98" s="30" t="n">
        <v>105</v>
      </c>
      <c r="J98" s="31" t="n">
        <v>20400</v>
      </c>
      <c r="K98" s="32" t="n">
        <v>2142000</v>
      </c>
      <c r="L98" s="6" t="inlineStr">
        <is>
          <t>Без розеток и UTP во внутрипольных блоках. Цена по КП</t>
        </is>
      </c>
    </row>
    <row r="99" ht="18" customHeight="1">
      <c r="A99" s="10" t="inlineStr">
        <is>
          <t>2 этаж</t>
        </is>
      </c>
      <c r="B99" s="10" t="inlineStr">
        <is>
          <t>Студия</t>
        </is>
      </c>
      <c r="C99" s="10" t="n">
        <v>143</v>
      </c>
      <c r="D99" s="11" t="inlineStr">
        <is>
          <t>L2-ELE-004</t>
        </is>
      </c>
      <c r="E99" s="11" t="inlineStr">
        <is>
          <t>Электрика</t>
        </is>
      </c>
      <c r="F99" s="11" t="inlineStr">
        <is>
          <t>Рамка 1-постовая (чёрная)</t>
        </is>
      </c>
      <c r="G99" s="11" t="inlineStr">
        <is>
          <t>из исходной сметы</t>
        </is>
      </c>
      <c r="H99" s="10" t="inlineStr">
        <is>
          <t>шт</t>
        </is>
      </c>
      <c r="I99" s="33" t="n">
        <v>10</v>
      </c>
      <c r="J99" s="34" t="n">
        <v>6100</v>
      </c>
      <c r="K99" s="35" t="n">
        <v>61000</v>
      </c>
      <c r="L99" s="11" t="inlineStr">
        <is>
          <t>Цена по КП</t>
        </is>
      </c>
    </row>
    <row r="100" ht="18" customHeight="1">
      <c r="A100" s="5" t="inlineStr">
        <is>
          <t>2 этаж</t>
        </is>
      </c>
      <c r="B100" s="5" t="inlineStr">
        <is>
          <t>Студия</t>
        </is>
      </c>
      <c r="C100" s="5" t="n">
        <v>144</v>
      </c>
      <c r="D100" s="6" t="inlineStr">
        <is>
          <t>L2-ELE-005</t>
        </is>
      </c>
      <c r="E100" s="6" t="inlineStr">
        <is>
          <t>Электрика</t>
        </is>
      </c>
      <c r="F100" s="6" t="inlineStr">
        <is>
          <t>Рамка 2-постовая (чёрная)</t>
        </is>
      </c>
      <c r="G100" s="6" t="inlineStr">
        <is>
          <t>из исходной сметы</t>
        </is>
      </c>
      <c r="H100" s="5" t="inlineStr">
        <is>
          <t>шт</t>
        </is>
      </c>
      <c r="I100" s="30" t="n">
        <v>11</v>
      </c>
      <c r="J100" s="31" t="n">
        <v>16300</v>
      </c>
      <c r="K100" s="32" t="n">
        <v>179300</v>
      </c>
      <c r="L100" s="6" t="inlineStr">
        <is>
          <t>Цена по КП</t>
        </is>
      </c>
    </row>
    <row r="101" ht="18" customHeight="1">
      <c r="A101" s="10" t="inlineStr">
        <is>
          <t>2 этаж</t>
        </is>
      </c>
      <c r="B101" s="10" t="inlineStr">
        <is>
          <t>Студия</t>
        </is>
      </c>
      <c r="C101" s="10" t="n">
        <v>145</v>
      </c>
      <c r="D101" s="11" t="inlineStr">
        <is>
          <t>L2-ELE-006</t>
        </is>
      </c>
      <c r="E101" s="11" t="inlineStr">
        <is>
          <t>Электрика</t>
        </is>
      </c>
      <c r="F101" s="11" t="inlineStr">
        <is>
          <t>Рамка 3-постовая (чёрная)</t>
        </is>
      </c>
      <c r="G101" s="11" t="inlineStr">
        <is>
          <t>из исходной сметы</t>
        </is>
      </c>
      <c r="H101" s="10" t="inlineStr">
        <is>
          <t>шт</t>
        </is>
      </c>
      <c r="I101" s="33" t="n">
        <v>8</v>
      </c>
      <c r="J101" s="34" t="n">
        <v>20400</v>
      </c>
      <c r="K101" s="35" t="n">
        <v>163200</v>
      </c>
      <c r="L101" s="11" t="inlineStr">
        <is>
          <t>Цена по КП</t>
        </is>
      </c>
    </row>
    <row r="102" ht="18" customHeight="1">
      <c r="A102" s="5" t="inlineStr">
        <is>
          <t>2 этаж</t>
        </is>
      </c>
      <c r="B102" s="5" t="inlineStr">
        <is>
          <t>Студия</t>
        </is>
      </c>
      <c r="C102" s="5" t="n">
        <v>146</v>
      </c>
      <c r="D102" s="6" t="inlineStr">
        <is>
          <t>L2-ELE-007</t>
        </is>
      </c>
      <c r="E102" s="6" t="inlineStr">
        <is>
          <t>Электрика</t>
        </is>
      </c>
      <c r="F102" s="6" t="inlineStr">
        <is>
          <t>Рамка 4-постовая (чёрная)</t>
        </is>
      </c>
      <c r="G102" s="6" t="inlineStr">
        <is>
          <t>из исходной сметы</t>
        </is>
      </c>
      <c r="H102" s="5" t="inlineStr">
        <is>
          <t>шт</t>
        </is>
      </c>
      <c r="I102" s="30" t="n">
        <v>12</v>
      </c>
      <c r="J102" s="31" t="n">
        <v>25900</v>
      </c>
      <c r="K102" s="32" t="n">
        <v>310800</v>
      </c>
      <c r="L102" s="6" t="inlineStr">
        <is>
          <t>Цена по КП</t>
        </is>
      </c>
    </row>
    <row r="103" ht="18" customHeight="1">
      <c r="A103" s="10" t="inlineStr">
        <is>
          <t>2 этаж</t>
        </is>
      </c>
      <c r="B103" s="10" t="inlineStr">
        <is>
          <t>Студия</t>
        </is>
      </c>
      <c r="C103" s="10" t="n">
        <v>147</v>
      </c>
      <c r="D103" s="11" t="inlineStr">
        <is>
          <t>L2-ELE-008</t>
        </is>
      </c>
      <c r="E103" s="11" t="inlineStr">
        <is>
          <t>Электрика</t>
        </is>
      </c>
      <c r="F103" s="11" t="inlineStr">
        <is>
          <t>Рамка 5-постовая (чёрная)</t>
        </is>
      </c>
      <c r="G103" s="11" t="inlineStr">
        <is>
          <t>из исходной сметы</t>
        </is>
      </c>
      <c r="H103" s="10" t="inlineStr">
        <is>
          <t>шт</t>
        </is>
      </c>
      <c r="I103" s="33" t="n">
        <v>4</v>
      </c>
      <c r="J103" s="34" t="n">
        <v>34100</v>
      </c>
      <c r="K103" s="35" t="n">
        <v>136400</v>
      </c>
      <c r="L103" s="11" t="inlineStr">
        <is>
          <t>Цена по КП</t>
        </is>
      </c>
    </row>
    <row r="104" ht="18" customHeight="1">
      <c r="A104" s="5" t="inlineStr">
        <is>
          <t>2 этаж</t>
        </is>
      </c>
      <c r="B104" s="5" t="inlineStr">
        <is>
          <t>Студия</t>
        </is>
      </c>
      <c r="C104" s="5" t="n">
        <v>148</v>
      </c>
      <c r="D104" s="6" t="inlineStr">
        <is>
          <t>L2-ELE-009</t>
        </is>
      </c>
      <c r="E104" s="6" t="inlineStr">
        <is>
          <t>Электрика</t>
        </is>
      </c>
      <c r="F104" s="6" t="inlineStr">
        <is>
          <t>Розетки, встроенные в маникюрные столы (8 розеток × 4 стола)</t>
        </is>
      </c>
      <c r="G104" s="6" t="inlineStr">
        <is>
          <t>из исходной сметы</t>
        </is>
      </c>
      <c r="H104" s="5" t="inlineStr">
        <is>
          <t>шт</t>
        </is>
      </c>
      <c r="I104" s="30" t="n">
        <v>32</v>
      </c>
      <c r="J104" s="31" t="n">
        <v>272700</v>
      </c>
      <c r="K104" s="32" t="n">
        <v>8726400</v>
      </c>
      <c r="L104" s="6" t="inlineStr">
        <is>
          <t>Цена по КП (блок «розетки для мебели», 44 шт)</t>
        </is>
      </c>
    </row>
    <row r="105" ht="18" customHeight="1">
      <c r="A105" s="10" t="inlineStr">
        <is>
          <t>2 этаж</t>
        </is>
      </c>
      <c r="B105" s="10" t="inlineStr">
        <is>
          <t>Студия</t>
        </is>
      </c>
      <c r="C105" s="10" t="n">
        <v>149</v>
      </c>
      <c r="D105" s="11" t="inlineStr">
        <is>
          <t>L2-ELE-010</t>
        </is>
      </c>
      <c r="E105" s="11" t="inlineStr">
        <is>
          <t>Электрика</t>
        </is>
      </c>
      <c r="F105" s="11" t="inlineStr">
        <is>
          <t>Розетки в столах топ-мастеров (4 × 2)</t>
        </is>
      </c>
      <c r="G105" s="11" t="inlineStr">
        <is>
          <t>из исходной сметы</t>
        </is>
      </c>
      <c r="H105" s="10" t="inlineStr">
        <is>
          <t>шт</t>
        </is>
      </c>
      <c r="I105" s="33" t="n">
        <v>8</v>
      </c>
      <c r="J105" s="34" t="n">
        <v>272700</v>
      </c>
      <c r="K105" s="35" t="n">
        <v>2181600</v>
      </c>
      <c r="L105" s="11" t="inlineStr">
        <is>
          <t>Пом. 4 и 5. Цена по КП</t>
        </is>
      </c>
    </row>
    <row r="106" ht="18" customHeight="1">
      <c r="A106" s="5" t="inlineStr">
        <is>
          <t>2 этаж</t>
        </is>
      </c>
      <c r="B106" s="5" t="inlineStr">
        <is>
          <t>Студия</t>
        </is>
      </c>
      <c r="C106" s="5" t="n">
        <v>150</v>
      </c>
      <c r="D106" s="6" t="inlineStr">
        <is>
          <t>L2-ELE-011</t>
        </is>
      </c>
      <c r="E106" s="6" t="inlineStr">
        <is>
          <t>Электрика</t>
        </is>
      </c>
      <c r="F106" s="6" t="inlineStr">
        <is>
          <t>Розетки в стойке ресепшен (2 × 2)</t>
        </is>
      </c>
      <c r="G106" s="6" t="inlineStr">
        <is>
          <t>из исходной сметы</t>
        </is>
      </c>
      <c r="H106" s="5" t="inlineStr">
        <is>
          <t>шт</t>
        </is>
      </c>
      <c r="I106" s="30" t="n">
        <v>4</v>
      </c>
      <c r="J106" s="31" t="n">
        <v>272700</v>
      </c>
      <c r="K106" s="32" t="n">
        <v>1090800</v>
      </c>
      <c r="L106" s="6" t="inlineStr">
        <is>
          <t>Цена по КП</t>
        </is>
      </c>
    </row>
    <row r="107" ht="18" customHeight="1">
      <c r="A107" s="10" t="inlineStr">
        <is>
          <t>2 этаж</t>
        </is>
      </c>
      <c r="B107" s="10" t="inlineStr">
        <is>
          <t>Студия</t>
        </is>
      </c>
      <c r="C107" s="10" t="n">
        <v>157</v>
      </c>
      <c r="D107" s="11" t="inlineStr">
        <is>
          <t>L2-LGT-001</t>
        </is>
      </c>
      <c r="E107" s="11" t="inlineStr">
        <is>
          <t>Освещение и LED</t>
        </is>
      </c>
      <c r="F107" s="11" t="inlineStr">
        <is>
          <t>Подвесной направленный светильник (по КП — накладной спот на подвесе 15 Вт, 4000 К)</t>
        </is>
      </c>
      <c r="G107" s="11" t="inlineStr">
        <is>
          <t>из исходной сметы</t>
        </is>
      </c>
      <c r="H107" s="10" t="inlineStr">
        <is>
          <t>шт</t>
        </is>
      </c>
      <c r="I107" s="33" t="n">
        <v>101</v>
      </c>
      <c r="J107" s="34" t="n">
        <v>218200</v>
      </c>
      <c r="K107" s="35" t="n">
        <v>22038200</v>
      </c>
      <c r="L107" s="11" t="inlineStr">
        <is>
          <t>Цена по КП поз.12. ВНИМАНИЕ: «накладной на подвесе» — не трековый спот. Сверить с магнитной системой. На фитнесе (КП 1209-1) магнитный поворотный спот под трек — 177 200/шт: если нужен трековый, ×101 выйдет на 4 141 000 дешевле</t>
        </is>
      </c>
    </row>
    <row r="108" ht="18" customHeight="1">
      <c r="A108" s="5" t="inlineStr">
        <is>
          <t>2 этаж</t>
        </is>
      </c>
      <c r="B108" s="5" t="inlineStr">
        <is>
          <t>Студия</t>
        </is>
      </c>
      <c r="C108" s="5" t="n">
        <v>158</v>
      </c>
      <c r="D108" s="6" t="inlineStr">
        <is>
          <t>L2-LGT-002</t>
        </is>
      </c>
      <c r="E108" s="6" t="inlineStr">
        <is>
          <t>Освещение и LED</t>
        </is>
      </c>
      <c r="F108" s="6" t="inlineStr">
        <is>
          <t>Подвесной светильник в курилке 220 В</t>
        </is>
      </c>
      <c r="G108" s="6" t="inlineStr">
        <is>
          <t>из исходной сметы</t>
        </is>
      </c>
      <c r="H108" s="5" t="inlineStr">
        <is>
          <t>шт</t>
        </is>
      </c>
      <c r="I108" s="30" t="n">
        <v>2</v>
      </c>
      <c r="J108" s="31" t="n">
        <v>2045500</v>
      </c>
      <c r="K108" s="32" t="n">
        <v>4091000</v>
      </c>
      <c r="L108" s="6" t="inlineStr">
        <is>
          <t>Цена по КП поз.21</t>
        </is>
      </c>
    </row>
    <row r="109" ht="18" customHeight="1">
      <c r="A109" s="10" t="inlineStr">
        <is>
          <t>2 этаж</t>
        </is>
      </c>
      <c r="B109" s="10" t="inlineStr">
        <is>
          <t>Студия</t>
        </is>
      </c>
      <c r="C109" s="10" t="n">
        <v>159</v>
      </c>
      <c r="D109" s="11" t="inlineStr">
        <is>
          <t>L2-LGT-003</t>
        </is>
      </c>
      <c r="E109" s="11" t="inlineStr">
        <is>
          <t>Освещение и LED</t>
        </is>
      </c>
      <c r="F109" s="11" t="inlineStr">
        <is>
          <t>Настенный светильник (бра) в курилке 220 В (h=1600)</t>
        </is>
      </c>
      <c r="G109" s="11" t="inlineStr">
        <is>
          <t>из исходной сметы</t>
        </is>
      </c>
      <c r="H109" s="10" t="inlineStr">
        <is>
          <t>шт</t>
        </is>
      </c>
      <c r="I109" s="33" t="n">
        <v>1</v>
      </c>
      <c r="J109" s="34" t="n">
        <v>750000</v>
      </c>
      <c r="K109" s="35" t="n">
        <v>750000</v>
      </c>
      <c r="L109" s="11" t="inlineStr">
        <is>
          <t>Цена по КП поз.23. В КП заложено 2 шт против 1 по проекту</t>
        </is>
      </c>
    </row>
    <row r="110" ht="18" customHeight="1">
      <c r="A110" s="5" t="inlineStr">
        <is>
          <t>2 этаж</t>
        </is>
      </c>
      <c r="B110" s="5" t="inlineStr">
        <is>
          <t>Студия</t>
        </is>
      </c>
      <c r="C110" s="5" t="n">
        <v>160</v>
      </c>
      <c r="D110" s="6" t="inlineStr">
        <is>
          <t>L2-LGT-004</t>
        </is>
      </c>
      <c r="E110" s="6" t="inlineStr">
        <is>
          <t>Освещение и LED</t>
        </is>
      </c>
      <c r="F110" s="6" t="inlineStr">
        <is>
          <t>Спот поворотный 20 Вт, чёрный корпус</t>
        </is>
      </c>
      <c r="G110" s="6" t="inlineStr">
        <is>
          <t>из исходной сметы</t>
        </is>
      </c>
      <c r="H110" s="5" t="inlineStr">
        <is>
          <t>шт</t>
        </is>
      </c>
      <c r="I110" s="30" t="n">
        <v>24</v>
      </c>
      <c r="J110" s="31" t="n">
        <v>177200</v>
      </c>
      <c r="K110" s="32" t="n">
        <v>4252800</v>
      </c>
      <c r="L110" s="6" t="inlineStr">
        <is>
          <t>В спецификации РП ОТСУТСТВУЕТ — уточнить назначение (трековые споты?)</t>
        </is>
      </c>
    </row>
    <row r="111" ht="18" customHeight="1">
      <c r="A111" s="10" t="inlineStr">
        <is>
          <t>2 этаж</t>
        </is>
      </c>
      <c r="B111" s="10" t="inlineStr">
        <is>
          <t>Студия</t>
        </is>
      </c>
      <c r="C111" s="10" t="n">
        <v>161</v>
      </c>
      <c r="D111" s="11" t="inlineStr">
        <is>
          <t>L2-LGT-005</t>
        </is>
      </c>
      <c r="E111" s="11" t="inlineStr">
        <is>
          <t>Освещение и LED</t>
        </is>
      </c>
      <c r="F111" s="11" t="inlineStr">
        <is>
          <t>Линейный светильник 900 мм (900)</t>
        </is>
      </c>
      <c r="G111" s="11" t="inlineStr">
        <is>
          <t>из исходной сметы</t>
        </is>
      </c>
      <c r="H111" s="10" t="inlineStr">
        <is>
          <t>шт</t>
        </is>
      </c>
      <c r="I111" s="33" t="n">
        <v>12</v>
      </c>
      <c r="J111" s="34" t="n">
        <v>231800</v>
      </c>
      <c r="K111" s="35" t="n">
        <v>2781600</v>
      </c>
      <c r="L111" s="11" t="inlineStr">
        <is>
          <t>В спецификации РП ОТСУТСТВУЕТ, но на рендерах 43–52 линейные подвесы есть</t>
        </is>
      </c>
    </row>
    <row r="112" ht="18" customHeight="1">
      <c r="A112" s="5" t="inlineStr">
        <is>
          <t>2 этаж</t>
        </is>
      </c>
      <c r="B112" s="5" t="inlineStr">
        <is>
          <t>Студия</t>
        </is>
      </c>
      <c r="C112" s="5" t="n">
        <v>162</v>
      </c>
      <c r="D112" s="6" t="inlineStr">
        <is>
          <t>L2-LGT-006</t>
        </is>
      </c>
      <c r="E112" s="6" t="inlineStr">
        <is>
          <t>Освещение и LED</t>
        </is>
      </c>
      <c r="F112" s="6" t="inlineStr">
        <is>
          <t>Подвесная люстра</t>
        </is>
      </c>
      <c r="G112" s="6" t="inlineStr">
        <is>
          <t>из исходной сметы</t>
        </is>
      </c>
      <c r="H112" s="5" t="inlineStr">
        <is>
          <t>шт</t>
        </is>
      </c>
      <c r="I112" s="30" t="n">
        <v>1</v>
      </c>
      <c r="J112" s="31" t="n">
        <v>4090000</v>
      </c>
      <c r="K112" s="32" t="n">
        <v>4090000</v>
      </c>
      <c r="L112" s="6" t="inlineStr">
        <is>
          <t>В спецификации РП ОТСУТСТВУЕТ — уточнить место</t>
        </is>
      </c>
    </row>
    <row r="113" ht="18" customHeight="1">
      <c r="A113" s="10" t="inlineStr">
        <is>
          <t>2 этаж</t>
        </is>
      </c>
      <c r="B113" s="10" t="inlineStr">
        <is>
          <t>Студия</t>
        </is>
      </c>
      <c r="C113" s="10" t="n">
        <v>163</v>
      </c>
      <c r="D113" s="11" t="inlineStr">
        <is>
          <t>L2-LGT-007</t>
        </is>
      </c>
      <c r="E113" s="11" t="inlineStr">
        <is>
          <t>Освещение и LED</t>
        </is>
      </c>
      <c r="F113" s="11" t="inlineStr">
        <is>
          <t>Секция магнитного шинопровода 3000 мм (3000)</t>
        </is>
      </c>
      <c r="G113" s="11" t="inlineStr">
        <is>
          <t>из исходной сметы</t>
        </is>
      </c>
      <c r="H113" s="10" t="inlineStr">
        <is>
          <t>шт</t>
        </is>
      </c>
      <c r="I113" s="33" t="n">
        <v>11</v>
      </c>
      <c r="J113" s="34" t="n">
        <v>327200</v>
      </c>
      <c r="K113" s="35" t="n">
        <v>3599200</v>
      </c>
      <c r="L113" s="11" t="inlineStr">
        <is>
          <t>Раскрой: 9800 = 3+3+2+2; 5000 = 3+2; 4800 = 3+2 (×4); 2850 = 3 (×3); 2440 = 3. В КП заложено 8 шт</t>
        </is>
      </c>
    </row>
    <row r="114" ht="18" customHeight="1">
      <c r="A114" s="5" t="inlineStr">
        <is>
          <t>2 этаж</t>
        </is>
      </c>
      <c r="B114" s="5" t="inlineStr">
        <is>
          <t>Студия</t>
        </is>
      </c>
      <c r="C114" s="5" t="n">
        <v>164</v>
      </c>
      <c r="D114" s="6" t="inlineStr">
        <is>
          <t>L2-LGT-008</t>
        </is>
      </c>
      <c r="E114" s="6" t="inlineStr">
        <is>
          <t>Освещение и LED</t>
        </is>
      </c>
      <c r="F114" s="6" t="inlineStr">
        <is>
          <t>Секция магнитного шинопровода 2000 мм (2000)</t>
        </is>
      </c>
      <c r="G114" s="6" t="inlineStr">
        <is>
          <t>из исходной сметы</t>
        </is>
      </c>
      <c r="H114" s="5" t="inlineStr">
        <is>
          <t>шт</t>
        </is>
      </c>
      <c r="I114" s="30" t="n">
        <v>19</v>
      </c>
      <c r="J114" s="31" t="n">
        <v>218100</v>
      </c>
      <c r="K114" s="32" t="n">
        <v>4143900</v>
      </c>
      <c r="L114" s="6" t="inlineStr">
        <is>
          <t>3100 = 2+2 (×4); 1800 = 2 (×2); вторые части трасс. В КП заложено 4 шт</t>
        </is>
      </c>
    </row>
    <row r="115" ht="18" customHeight="1">
      <c r="A115" s="10" t="inlineStr">
        <is>
          <t>2 этаж</t>
        </is>
      </c>
      <c r="B115" s="10" t="inlineStr">
        <is>
          <t>Студия</t>
        </is>
      </c>
      <c r="C115" s="10" t="n">
        <v>165</v>
      </c>
      <c r="D115" s="11" t="inlineStr">
        <is>
          <t>L2-LGT-009</t>
        </is>
      </c>
      <c r="E115" s="11" t="inlineStr">
        <is>
          <t>Освещение и LED</t>
        </is>
      </c>
      <c r="F115" s="11" t="inlineStr">
        <is>
          <t>Соединитель прямой (стык секций внутри трассы)</t>
        </is>
      </c>
      <c r="G115" s="11" t="inlineStr">
        <is>
          <t>из исходной сметы</t>
        </is>
      </c>
      <c r="H115" s="10" t="inlineStr">
        <is>
          <t>шт</t>
        </is>
      </c>
      <c r="I115" s="33" t="n">
        <v>13</v>
      </c>
      <c r="J115" s="34" t="n">
        <v>40900</v>
      </c>
      <c r="K115" s="35" t="n">
        <v>531700</v>
      </c>
      <c r="L115" s="11" t="inlineStr">
        <is>
          <t>30 секций − 17 трасс. В КП только угловые 8 шт, прямых НЕТ</t>
        </is>
      </c>
    </row>
    <row r="116" ht="18" customHeight="1">
      <c r="A116" s="5" t="inlineStr">
        <is>
          <t>2 этаж</t>
        </is>
      </c>
      <c r="B116" s="5" t="inlineStr">
        <is>
          <t>Студия</t>
        </is>
      </c>
      <c r="C116" s="5" t="n">
        <v>168</v>
      </c>
      <c r="D116" s="6" t="inlineStr">
        <is>
          <t>L2-LGT-012</t>
        </is>
      </c>
      <c r="E116" s="6" t="inlineStr">
        <is>
          <t>Освещение и LED</t>
        </is>
      </c>
      <c r="F116" s="6" t="inlineStr">
        <is>
          <t>Комплект тросового подвеса</t>
        </is>
      </c>
      <c r="G116" s="6" t="inlineStr">
        <is>
          <t>из исходной сметы</t>
        </is>
      </c>
      <c r="H116" s="5" t="inlineStr">
        <is>
          <t>шт</t>
        </is>
      </c>
      <c r="I116" s="30" t="n">
        <v>60</v>
      </c>
      <c r="J116" s="31" t="n">
        <v>34000</v>
      </c>
      <c r="K116" s="32" t="n">
        <v>2040000</v>
      </c>
      <c r="L116" s="6" t="inlineStr">
        <is>
          <t>2 на секцию × 30 секций. В КП заложено 24 шт (под 12 треков)</t>
        </is>
      </c>
    </row>
    <row r="117" ht="18" customHeight="1">
      <c r="A117" s="10" t="inlineStr">
        <is>
          <t>2 этаж</t>
        </is>
      </c>
      <c r="B117" s="10" t="inlineStr">
        <is>
          <t>Студия</t>
        </is>
      </c>
      <c r="C117" s="10" t="n">
        <v>169</v>
      </c>
      <c r="D117" s="11" t="inlineStr">
        <is>
          <t>L2-LGT-013</t>
        </is>
      </c>
      <c r="E117" s="11" t="inlineStr">
        <is>
          <t>Освещение и LED</t>
        </is>
      </c>
      <c r="F117" s="11" t="inlineStr">
        <is>
          <t>Блок питания трека 300 Вт (вариант Б — низковольтная система) (300 Вт)</t>
        </is>
      </c>
      <c r="G117" s="11" t="inlineStr">
        <is>
          <t>из исходной сметы</t>
        </is>
      </c>
      <c r="H117" s="10" t="inlineStr">
        <is>
          <t>шт</t>
        </is>
      </c>
      <c r="I117" s="33" t="n">
        <v>11</v>
      </c>
      <c r="J117" s="34" t="n">
        <v>300000</v>
      </c>
      <c r="K117" s="35" t="n">
        <v>3300000</v>
      </c>
      <c r="L117" s="11" t="inlineStr">
        <is>
          <t>Сумма мощности × запас / 300 Вт. В КП заложено 8 шт — сходится</t>
        </is>
      </c>
    </row>
    <row r="118" ht="18" customHeight="1">
      <c r="A118" s="5" t="inlineStr">
        <is>
          <t>2 этаж</t>
        </is>
      </c>
      <c r="B118" s="5" t="inlineStr">
        <is>
          <t>Студия</t>
        </is>
      </c>
      <c r="C118" s="5" t="n">
        <v>170</v>
      </c>
      <c r="D118" s="6" t="inlineStr">
        <is>
          <t>L2-LGT-014</t>
        </is>
      </c>
      <c r="E118" s="6" t="inlineStr">
        <is>
          <t>Освещение и LED</t>
        </is>
      </c>
      <c r="F118" s="6" t="inlineStr">
        <is>
          <t>Теневой плинтус с LED-подсветкой, чёрный корпус</t>
        </is>
      </c>
      <c r="G118" s="6" t="inlineStr">
        <is>
          <t>из исходной сметы</t>
        </is>
      </c>
      <c r="H118" s="5" t="inlineStr">
        <is>
          <t>п.м.</t>
        </is>
      </c>
      <c r="I118" s="30" t="n">
        <v>102</v>
      </c>
      <c r="J118" s="31" t="n">
        <v>95500</v>
      </c>
      <c r="K118" s="32" t="n">
        <v>9741000</v>
      </c>
      <c r="L118" s="6" t="inlineStr">
        <is>
          <t>Цена по КП поз.16 (в КП 104 м)</t>
        </is>
      </c>
    </row>
    <row r="119" ht="18" customHeight="1">
      <c r="A119" s="10" t="inlineStr">
        <is>
          <t>2 этаж</t>
        </is>
      </c>
      <c r="B119" s="10" t="inlineStr">
        <is>
          <t>Студия</t>
        </is>
      </c>
      <c r="C119" s="10" t="n">
        <v>171</v>
      </c>
      <c r="D119" s="11" t="inlineStr">
        <is>
          <t>L2-LGT-015</t>
        </is>
      </c>
      <c r="E119" s="11" t="inlineStr">
        <is>
          <t>Освещение и LED</t>
        </is>
      </c>
      <c r="F119" s="11" t="inlineStr">
        <is>
          <t>LED-лента 24 В 120/4000 К: потолок, мебель, отделка</t>
        </is>
      </c>
      <c r="G119" s="11" t="inlineStr">
        <is>
          <t>из исходной сметы</t>
        </is>
      </c>
      <c r="H119" s="10" t="inlineStr">
        <is>
          <t>п.м.</t>
        </is>
      </c>
      <c r="I119" s="33" t="n">
        <v>76</v>
      </c>
      <c r="J119" s="34" t="n">
        <v>21800</v>
      </c>
      <c r="K119" s="35" t="n">
        <v>1656800</v>
      </c>
      <c r="L119" s="11" t="inlineStr">
        <is>
          <t>Цена по КП поз.15 (в КП 110 м). Метраж уточнить обмером</t>
        </is>
      </c>
    </row>
    <row r="120" ht="18" customHeight="1">
      <c r="A120" s="5" t="inlineStr">
        <is>
          <t>2 этаж</t>
        </is>
      </c>
      <c r="B120" s="5" t="inlineStr">
        <is>
          <t>Студия</t>
        </is>
      </c>
      <c r="C120" s="5" t="n">
        <v>172</v>
      </c>
      <c r="D120" s="6" t="inlineStr">
        <is>
          <t>L2-LGT-016</t>
        </is>
      </c>
      <c r="E120" s="6" t="inlineStr">
        <is>
          <t>Освещение и LED</t>
        </is>
      </c>
      <c r="F120" s="6" t="inlineStr">
        <is>
          <t>Блок питания для ленты 24 В, 200 Вт (200 Вт)</t>
        </is>
      </c>
      <c r="G120" s="6" t="inlineStr">
        <is>
          <t>из исходной сметы</t>
        </is>
      </c>
      <c r="H120" s="5" t="inlineStr">
        <is>
          <t>шт</t>
        </is>
      </c>
      <c r="I120" s="30" t="n">
        <v>11</v>
      </c>
      <c r="J120" s="31" t="n">
        <v>163600</v>
      </c>
      <c r="K120" s="32" t="n">
        <v>1799600</v>
      </c>
      <c r="L120" s="6" t="inlineStr">
        <is>
          <t>В КП заложено 8 шт — проверить против расчёта</t>
        </is>
      </c>
    </row>
    <row r="121" ht="18" customHeight="1">
      <c r="A121" s="10" t="inlineStr">
        <is>
          <t>2 этаж</t>
        </is>
      </c>
      <c r="B121" s="10" t="inlineStr">
        <is>
          <t>Студия</t>
        </is>
      </c>
      <c r="C121" s="10" t="n">
        <v>175</v>
      </c>
      <c r="D121" s="11" t="inlineStr">
        <is>
          <t>L2-FIN-001</t>
        </is>
      </c>
      <c r="E121" s="11" t="inlineStr">
        <is>
          <t>Отделка (стены, потолок, полы)</t>
        </is>
      </c>
      <c r="F121" s="11" t="inlineStr">
        <is>
          <t>Кафель основной 1200 × 1200 (все зоны, кроме курилки) (1200 × 1200)</t>
        </is>
      </c>
      <c r="G121" s="11" t="inlineStr">
        <is>
          <t>из исходной сметы</t>
        </is>
      </c>
      <c r="H121" s="10" t="inlineStr">
        <is>
          <t>м²</t>
        </is>
      </c>
      <c r="I121" s="33" t="n">
        <v>170.94</v>
      </c>
      <c r="J121" s="34" t="n">
        <v>395000</v>
      </c>
      <c r="K121" s="35" t="n">
        <v>67521300</v>
      </c>
      <c r="L121" s="11" t="inlineStr">
        <is>
          <t>С запасом +10 %. Цены на кафель в спецификации фитнеса нет (От-6, НП-3 пустые) — 395 000 не подтверждена</t>
        </is>
      </c>
    </row>
    <row r="122" ht="18" customHeight="1">
      <c r="A122" s="5" t="inlineStr">
        <is>
          <t>2 этаж</t>
        </is>
      </c>
      <c r="B122" s="5" t="inlineStr">
        <is>
          <t>Студия</t>
        </is>
      </c>
      <c r="C122" s="5" t="n">
        <v>176</v>
      </c>
      <c r="D122" s="6" t="inlineStr">
        <is>
          <t>L2-FIN-002</t>
        </is>
      </c>
      <c r="E122" s="6" t="inlineStr">
        <is>
          <t>Отделка (стены, потолок, полы)</t>
        </is>
      </c>
      <c r="F122" s="6" t="inlineStr">
        <is>
          <t>Кафель в Smoking room (другой, контрастная раскладка) (формат уточнить)</t>
        </is>
      </c>
      <c r="G122" s="6" t="inlineStr">
        <is>
          <t>из исходной сметы</t>
        </is>
      </c>
      <c r="H122" s="5" t="inlineStr">
        <is>
          <t>м²</t>
        </is>
      </c>
      <c r="I122" s="30" t="n">
        <v>4.84</v>
      </c>
      <c r="J122" s="31" t="n">
        <v>395000</v>
      </c>
      <c r="K122" s="32" t="n">
        <v>1911800</v>
      </c>
      <c r="L122" s="6" t="inlineStr">
        <is>
          <t>Отдельная позиция: на плане л.15 весь пол одним кафелем — расхождение с рендером. Формат и раскладку задать</t>
        </is>
      </c>
    </row>
    <row r="123" ht="18" customHeight="1">
      <c r="A123" s="10" t="inlineStr">
        <is>
          <t>2 этаж</t>
        </is>
      </c>
      <c r="B123" s="10" t="inlineStr">
        <is>
          <t>Студия</t>
        </is>
      </c>
      <c r="C123" s="10" t="n">
        <v>177</v>
      </c>
      <c r="D123" s="11" t="inlineStr">
        <is>
          <t>L2-FIN-003</t>
        </is>
      </c>
      <c r="E123" s="11" t="inlineStr">
        <is>
          <t>Отделка (стены, потолок, полы)</t>
        </is>
      </c>
      <c r="F123" s="11" t="inlineStr">
        <is>
          <t>Краска для потолка (цвет 1)</t>
        </is>
      </c>
      <c r="G123" s="11" t="inlineStr">
        <is>
          <t>из исходной сметы</t>
        </is>
      </c>
      <c r="H123" s="10" t="inlineStr">
        <is>
          <t>м²</t>
        </is>
      </c>
      <c r="I123" s="33" t="n">
        <v>290</v>
      </c>
      <c r="J123" s="34" t="n">
        <v>8000</v>
      </c>
      <c r="K123" s="35" t="n">
        <v>2320000</v>
      </c>
      <c r="L123" s="11" t="inlineStr">
        <is>
          <t>С запасом +15 %. АНАЛОГ: цена с фитнеса -1 эт., С-1 (чёрная окраска плиты и балок). Было 25 000 — на фитнесе цена подозрительно низкая, проверить: материал или работа</t>
        </is>
      </c>
    </row>
    <row r="124" ht="18" customHeight="1">
      <c r="A124" s="5" t="inlineStr">
        <is>
          <t>2 этаж</t>
        </is>
      </c>
      <c r="B124" s="5" t="inlineStr">
        <is>
          <t>Студия</t>
        </is>
      </c>
      <c r="C124" s="5" t="n">
        <v>178</v>
      </c>
      <c r="D124" s="6" t="inlineStr">
        <is>
          <t>L2-FIN-004</t>
        </is>
      </c>
      <c r="E124" s="6" t="inlineStr">
        <is>
          <t>Отделка (стены, потолок, полы)</t>
        </is>
      </c>
      <c r="F124" s="6" t="inlineStr">
        <is>
          <t>Краска для стен (цвет 1)</t>
        </is>
      </c>
      <c r="G124" s="6" t="inlineStr">
        <is>
          <t>из исходной сметы</t>
        </is>
      </c>
      <c r="H124" s="5" t="inlineStr">
        <is>
          <t>м²</t>
        </is>
      </c>
      <c r="I124" s="30" t="n">
        <v>350</v>
      </c>
      <c r="J124" s="31" t="n">
        <v>29400</v>
      </c>
      <c r="K124" s="32" t="n">
        <v>10290000</v>
      </c>
      <c r="L124" s="6" t="inlineStr">
        <is>
          <t>С запасом +15 %; цвет согласовать с дизайнером. АНАЛОГ: цвет студии не задан; на фитнесе краски стен 19 300…29 400 за м² (От-1…От-4), взята верхняя — RAL 9006. Было 32 000</t>
        </is>
      </c>
    </row>
    <row r="125" ht="18" customHeight="1">
      <c r="A125" s="10" t="inlineStr">
        <is>
          <t>2 этаж</t>
        </is>
      </c>
      <c r="B125" s="10" t="inlineStr">
        <is>
          <t>Студия</t>
        </is>
      </c>
      <c r="C125" s="10" t="n">
        <v>181</v>
      </c>
      <c r="D125" s="11" t="inlineStr">
        <is>
          <t>L2-FIN-007</t>
        </is>
      </c>
      <c r="E125" s="11" t="inlineStr">
        <is>
          <t>Отделка (стены, потолок, полы)</t>
        </is>
      </c>
      <c r="F125" s="11" t="inlineStr">
        <is>
          <t>Бамбуковая панель, текстура дерева (гладкая) (1220 × 3000)</t>
        </is>
      </c>
      <c r="G125" s="11" t="inlineStr">
        <is>
          <t>из исходной сметы</t>
        </is>
      </c>
      <c r="H125" s="10" t="inlineStr">
        <is>
          <t>лист</t>
        </is>
      </c>
      <c r="I125" s="33" t="n">
        <v>3</v>
      </c>
      <c r="J125" s="34" t="n">
        <v>350000</v>
      </c>
      <c r="K125" s="35" t="n">
        <v>1050000</v>
      </c>
      <c r="L125" s="11" t="n"/>
    </row>
    <row r="126" ht="18" customHeight="1">
      <c r="A126" s="5" t="inlineStr">
        <is>
          <t>2 этаж</t>
        </is>
      </c>
      <c r="B126" s="5" t="inlineStr">
        <is>
          <t>Студия</t>
        </is>
      </c>
      <c r="C126" s="5" t="n">
        <v>182</v>
      </c>
      <c r="D126" s="6" t="inlineStr">
        <is>
          <t>L2-FIN-008</t>
        </is>
      </c>
      <c r="E126" s="6" t="inlineStr">
        <is>
          <t>Отделка (стены, потолок, полы)</t>
        </is>
      </c>
      <c r="F126" s="6" t="inlineStr">
        <is>
          <t>Бамбуковая панель, рельефная поверхность (1220 × 3000)</t>
        </is>
      </c>
      <c r="G126" s="6" t="inlineStr">
        <is>
          <t>из исходной сметы</t>
        </is>
      </c>
      <c r="H126" s="5" t="inlineStr">
        <is>
          <t>лист</t>
        </is>
      </c>
      <c r="I126" s="30" t="n">
        <v>9</v>
      </c>
      <c r="J126" s="31" t="n">
        <v>350000</v>
      </c>
      <c r="K126" s="32" t="n">
        <v>3150000</v>
      </c>
      <c r="L126" s="6" t="n"/>
    </row>
    <row r="127" ht="18" customHeight="1">
      <c r="A127" s="10" t="inlineStr">
        <is>
          <t>2 этаж</t>
        </is>
      </c>
      <c r="B127" s="10" t="inlineStr">
        <is>
          <t>Студия</t>
        </is>
      </c>
      <c r="C127" s="10" t="n">
        <v>183</v>
      </c>
      <c r="D127" s="11" t="inlineStr">
        <is>
          <t>L2-FIN-009</t>
        </is>
      </c>
      <c r="E127" s="11" t="inlineStr">
        <is>
          <t>Отделка (стены, потолок, полы)</t>
        </is>
      </c>
      <c r="F127" s="11" t="inlineStr">
        <is>
          <t>Соединительный профиль (вертикальный) (3000)</t>
        </is>
      </c>
      <c r="G127" s="11" t="inlineStr">
        <is>
          <t>из исходной сметы</t>
        </is>
      </c>
      <c r="H127" s="10" t="inlineStr">
        <is>
          <t>шт</t>
        </is>
      </c>
      <c r="I127" s="33" t="n">
        <v>8</v>
      </c>
      <c r="J127" s="34" t="n">
        <v>35000</v>
      </c>
      <c r="K127" s="35" t="n">
        <v>280000</v>
      </c>
      <c r="L127" s="11" t="n"/>
    </row>
    <row r="128" ht="18" customHeight="1">
      <c r="A128" s="5" t="inlineStr">
        <is>
          <t>2 этаж</t>
        </is>
      </c>
      <c r="B128" s="5" t="inlineStr">
        <is>
          <t>Студия</t>
        </is>
      </c>
      <c r="C128" s="5" t="n">
        <v>184</v>
      </c>
      <c r="D128" s="6" t="inlineStr">
        <is>
          <t>L2-FIN-010</t>
        </is>
      </c>
      <c r="E128" s="6" t="inlineStr">
        <is>
          <t>Отделка (стены, потолок, полы)</t>
        </is>
      </c>
      <c r="F128" s="6" t="inlineStr">
        <is>
          <t>Профиль внешнего угла (3000)</t>
        </is>
      </c>
      <c r="G128" s="6" t="inlineStr">
        <is>
          <t>из исходной сметы</t>
        </is>
      </c>
      <c r="H128" s="5" t="inlineStr">
        <is>
          <t>шт</t>
        </is>
      </c>
      <c r="I128" s="30" t="n">
        <v>2</v>
      </c>
      <c r="J128" s="31" t="n">
        <v>35000</v>
      </c>
      <c r="K128" s="32" t="n">
        <v>70000</v>
      </c>
      <c r="L128" s="6" t="n"/>
    </row>
    <row r="129" ht="18" customHeight="1">
      <c r="A129" s="10" t="inlineStr">
        <is>
          <t>2 этаж</t>
        </is>
      </c>
      <c r="B129" s="10" t="inlineStr">
        <is>
          <t>Студия</t>
        </is>
      </c>
      <c r="C129" s="10" t="n">
        <v>185</v>
      </c>
      <c r="D129" s="11" t="inlineStr">
        <is>
          <t>L2-FIN-011</t>
        </is>
      </c>
      <c r="E129" s="11" t="inlineStr">
        <is>
          <t>Отделка (стены, потолок, полы)</t>
        </is>
      </c>
      <c r="F129" s="11" t="inlineStr">
        <is>
          <t>Наконечник (3000)</t>
        </is>
      </c>
      <c r="G129" s="11" t="inlineStr">
        <is>
          <t>из исходной сметы</t>
        </is>
      </c>
      <c r="H129" s="10" t="inlineStr">
        <is>
          <t>шт</t>
        </is>
      </c>
      <c r="I129" s="33" t="n">
        <v>14</v>
      </c>
      <c r="J129" s="34" t="n">
        <v>35000</v>
      </c>
      <c r="K129" s="35" t="n">
        <v>490000</v>
      </c>
      <c r="L129" s="11" t="n"/>
    </row>
    <row r="130" ht="18" customHeight="1">
      <c r="A130" s="5" t="inlineStr">
        <is>
          <t>3 этаж</t>
        </is>
      </c>
      <c r="B130" s="5" t="inlineStr">
        <is>
          <t>Офис</t>
        </is>
      </c>
      <c r="C130" s="5" t="n">
        <v>258</v>
      </c>
      <c r="D130" s="6" t="inlineStr">
        <is>
          <t>L3-PER-001</t>
        </is>
      </c>
      <c r="E130" s="6" t="inlineStr">
        <is>
          <t>Перегородки, двери, остекление</t>
        </is>
      </c>
      <c r="F130" s="6" t="inlineStr">
        <is>
          <t>Гипсокартонная перегородка (ГКЛ) — 50 мм</t>
        </is>
      </c>
      <c r="G130" s="6" t="inlineStr">
        <is>
          <t>из исходной сметы</t>
        </is>
      </c>
      <c r="H130" s="5" t="inlineStr">
        <is>
          <t>м²</t>
        </is>
      </c>
      <c r="I130" s="30" t="n">
        <v>7</v>
      </c>
      <c r="J130" s="31" t="n">
        <v>80000</v>
      </c>
      <c r="K130" s="32" t="n">
        <v>560000</v>
      </c>
      <c r="L130" s="6" t="inlineStr">
        <is>
          <t>50 мм с двусторонней обшивкой на стандартном профиле не собрать — узел уточнить</t>
        </is>
      </c>
    </row>
    <row r="131" ht="18" customHeight="1">
      <c r="A131" s="10" t="inlineStr">
        <is>
          <t>3 этаж</t>
        </is>
      </c>
      <c r="B131" s="10" t="inlineStr">
        <is>
          <t>Офис</t>
        </is>
      </c>
      <c r="C131" s="10" t="n">
        <v>259</v>
      </c>
      <c r="D131" s="11" t="inlineStr">
        <is>
          <t>L3-PER-002</t>
        </is>
      </c>
      <c r="E131" s="11" t="inlineStr">
        <is>
          <t>Перегородки, двери, остекление</t>
        </is>
      </c>
      <c r="F131" s="11" t="inlineStr">
        <is>
          <t>Гипсокартонная перегородка (ГКЛ) — 100 мм</t>
        </is>
      </c>
      <c r="G131" s="11" t="inlineStr">
        <is>
          <t>из исходной сметы</t>
        </is>
      </c>
      <c r="H131" s="10" t="inlineStr">
        <is>
          <t>м²</t>
        </is>
      </c>
      <c r="I131" s="33" t="n">
        <v>96</v>
      </c>
      <c r="J131" s="34" t="n">
        <v>80000</v>
      </c>
      <c r="K131" s="35" t="n">
        <v>7680000</v>
      </c>
      <c r="L131" s="11" t="inlineStr">
        <is>
          <t>в С/У и кухне под керамогранит — ГКЛВ</t>
        </is>
      </c>
    </row>
    <row r="132" ht="18" customHeight="1">
      <c r="A132" s="5" t="inlineStr">
        <is>
          <t>3 этаж</t>
        </is>
      </c>
      <c r="B132" s="5" t="inlineStr">
        <is>
          <t>Офис</t>
        </is>
      </c>
      <c r="C132" s="5" t="n">
        <v>263</v>
      </c>
      <c r="D132" s="6" t="inlineStr">
        <is>
          <t>L3-PER-006</t>
        </is>
      </c>
      <c r="E132" s="6" t="inlineStr">
        <is>
          <t>Перегородки, двери, остекление</t>
        </is>
      </c>
      <c r="F132" s="6" t="inlineStr">
        <is>
          <t>Дверной блок ≈900×2100, скрытый монтаж, полотно под дерево (по ДП)</t>
        </is>
      </c>
      <c r="G132" s="6" t="inlineStr">
        <is>
          <t>цена $ × 11700</t>
        </is>
      </c>
      <c r="H132" s="5" t="inlineStr">
        <is>
          <t>шт</t>
        </is>
      </c>
      <c r="I132" s="30" t="n">
        <v>4</v>
      </c>
      <c r="J132" s="31" t="n">
        <v>7605000</v>
      </c>
      <c r="K132" s="32" t="n">
        <v>30420000</v>
      </c>
      <c r="L132" s="6" t="inlineStr">
        <is>
          <t>пом. 14 переговорная, 21 кухня, 12 курилка, 13 архив. Размеры в РП не даны</t>
        </is>
      </c>
    </row>
    <row r="133" ht="18" customHeight="1">
      <c r="A133" s="10" t="inlineStr">
        <is>
          <t>3 этаж</t>
        </is>
      </c>
      <c r="B133" s="10" t="inlineStr">
        <is>
          <t>Офис</t>
        </is>
      </c>
      <c r="C133" s="10" t="n">
        <v>264</v>
      </c>
      <c r="D133" s="11" t="inlineStr">
        <is>
          <t>L3-PER-007</t>
        </is>
      </c>
      <c r="E133" s="11" t="inlineStr">
        <is>
          <t>Перегородки, двери, остекление</t>
        </is>
      </c>
      <c r="F133" s="11" t="inlineStr">
        <is>
          <t>Дверной блок ≈800×2100, скрытый монтаж, под покраску</t>
        </is>
      </c>
      <c r="G133" s="11" t="inlineStr">
        <is>
          <t>цена $ × 11700</t>
        </is>
      </c>
      <c r="H133" s="10" t="inlineStr">
        <is>
          <t>шт</t>
        </is>
      </c>
      <c r="I133" s="33" t="n">
        <v>3</v>
      </c>
      <c r="J133" s="34" t="n">
        <v>7605000</v>
      </c>
      <c r="K133" s="35" t="n">
        <v>22815000</v>
      </c>
      <c r="L133" s="11" t="inlineStr">
        <is>
          <t>пом. 17 серверная (с замком), 23 кладовая, 19 тех. пом. Дверь пом. 19 — проверить, не существующая ли</t>
        </is>
      </c>
    </row>
    <row r="134" ht="18" customHeight="1">
      <c r="A134" s="5" t="inlineStr">
        <is>
          <t>3 этаж</t>
        </is>
      </c>
      <c r="B134" s="5" t="inlineStr">
        <is>
          <t>Офис</t>
        </is>
      </c>
      <c r="C134" s="5" t="n">
        <v>265</v>
      </c>
      <c r="D134" s="6" t="inlineStr">
        <is>
          <t>L3-PER-008</t>
        </is>
      </c>
      <c r="E134" s="6" t="inlineStr">
        <is>
          <t>Перегородки, двери, остекление</t>
        </is>
      </c>
      <c r="F134" s="6" t="inlineStr">
        <is>
          <t>Дверной блок ≈800×2100, скрытый монтаж, ВЛАГОСТОЙКОЕ ИСПОЛНЕНИЕ</t>
        </is>
      </c>
      <c r="G134" s="6" t="inlineStr">
        <is>
          <t>цена $ × 11700</t>
        </is>
      </c>
      <c r="H134" s="5" t="inlineStr">
        <is>
          <t>шт</t>
        </is>
      </c>
      <c r="I134" s="30" t="n">
        <v>3</v>
      </c>
      <c r="J134" s="31" t="n">
        <v>7020000</v>
      </c>
      <c r="K134" s="32" t="n">
        <v>21060000</v>
      </c>
      <c r="L134" s="6" t="inlineStr">
        <is>
          <t>пом. 22 С/у, 24 С/у М, 25 С/у Ж</t>
        </is>
      </c>
    </row>
    <row r="135" ht="18" customHeight="1">
      <c r="A135" s="10" t="inlineStr">
        <is>
          <t>3 этаж</t>
        </is>
      </c>
      <c r="B135" s="10" t="inlineStr">
        <is>
          <t>Офис</t>
        </is>
      </c>
      <c r="C135" s="10" t="n">
        <v>268</v>
      </c>
      <c r="D135" s="11" t="inlineStr">
        <is>
          <t>L3-SAN-001</t>
        </is>
      </c>
      <c r="E135" s="11" t="inlineStr">
        <is>
          <t>Сантехника</t>
        </is>
      </c>
      <c r="F135" s="11" t="inlineStr">
        <is>
          <t>Гигиенический душ ХВ</t>
        </is>
      </c>
      <c r="G135" s="11" t="inlineStr">
        <is>
          <t>из исходной сметы</t>
        </is>
      </c>
      <c r="H135" s="10" t="inlineStr">
        <is>
          <t>шт</t>
        </is>
      </c>
      <c r="I135" s="33" t="n">
        <v>2</v>
      </c>
      <c r="J135" s="34" t="n">
        <v>700000</v>
      </c>
      <c r="K135" s="35" t="n">
        <v>1400000</v>
      </c>
      <c r="L135" s="11" t="inlineStr">
        <is>
          <t>пом. 24, 25. По РП только ХВ</t>
        </is>
      </c>
    </row>
    <row r="136" ht="18" customHeight="1">
      <c r="A136" s="5" t="inlineStr">
        <is>
          <t>3 этаж</t>
        </is>
      </c>
      <c r="B136" s="5" t="inlineStr">
        <is>
          <t>Офис</t>
        </is>
      </c>
      <c r="C136" s="5" t="n">
        <v>269</v>
      </c>
      <c r="D136" s="6" t="inlineStr">
        <is>
          <t>L3-SAN-002</t>
        </is>
      </c>
      <c r="E136" s="6" t="inlineStr">
        <is>
          <t>Сантехника</t>
        </is>
      </c>
      <c r="F136" s="6" t="inlineStr">
        <is>
          <t>Ершик туалетный</t>
        </is>
      </c>
      <c r="G136" s="6" t="inlineStr">
        <is>
          <t>из исходной сметы</t>
        </is>
      </c>
      <c r="H136" s="5" t="inlineStr">
        <is>
          <t>шт</t>
        </is>
      </c>
      <c r="I136" s="30" t="n">
        <v>2</v>
      </c>
      <c r="J136" s="31" t="n">
        <v>300000</v>
      </c>
      <c r="K136" s="32" t="n">
        <v>600000</v>
      </c>
      <c r="L136" s="6" t="n"/>
    </row>
    <row r="137" ht="18" customHeight="1">
      <c r="A137" s="10" t="inlineStr">
        <is>
          <t>3 этаж</t>
        </is>
      </c>
      <c r="B137" s="10" t="inlineStr">
        <is>
          <t>Офис</t>
        </is>
      </c>
      <c r="C137" s="10" t="n">
        <v>270</v>
      </c>
      <c r="D137" s="11" t="inlineStr">
        <is>
          <t>L3-SAN-003</t>
        </is>
      </c>
      <c r="E137" s="11" t="inlineStr">
        <is>
          <t>Сантехника</t>
        </is>
      </c>
      <c r="F137" s="11" t="inlineStr">
        <is>
          <t>Раковина (С/у 22, в тумбе М7)</t>
        </is>
      </c>
      <c r="G137" s="11" t="inlineStr">
        <is>
          <t>из исходной сметы</t>
        </is>
      </c>
      <c r="H137" s="10" t="inlineStr">
        <is>
          <t>шт</t>
        </is>
      </c>
      <c r="I137" s="33" t="n">
        <v>1</v>
      </c>
      <c r="J137" s="34" t="n">
        <v>1500000</v>
      </c>
      <c r="K137" s="35" t="n">
        <v>1500000</v>
      </c>
      <c r="L137" s="11" t="inlineStr">
        <is>
          <t>цена по фитнесу (встраиваемая)</t>
        </is>
      </c>
    </row>
    <row r="138" ht="18" customHeight="1">
      <c r="A138" s="5" t="inlineStr">
        <is>
          <t>3 этаж</t>
        </is>
      </c>
      <c r="B138" s="5" t="inlineStr">
        <is>
          <t>Офис</t>
        </is>
      </c>
      <c r="C138" s="5" t="n">
        <v>271</v>
      </c>
      <c r="D138" s="6" t="inlineStr">
        <is>
          <t>L3-SAN-004</t>
        </is>
      </c>
      <c r="E138" s="6" t="inlineStr">
        <is>
          <t>Сантехника</t>
        </is>
      </c>
      <c r="F138" s="6" t="inlineStr">
        <is>
          <t>Унитаз подвесной</t>
        </is>
      </c>
      <c r="G138" s="6" t="inlineStr">
        <is>
          <t>из исходной сметы</t>
        </is>
      </c>
      <c r="H138" s="5" t="inlineStr">
        <is>
          <t>шт</t>
        </is>
      </c>
      <c r="I138" s="30" t="n">
        <v>2</v>
      </c>
      <c r="J138" s="31" t="n">
        <v>3000000</v>
      </c>
      <c r="K138" s="32" t="n">
        <v>6000000</v>
      </c>
      <c r="L138" s="6" t="inlineStr">
        <is>
          <t>пом. 24, 25</t>
        </is>
      </c>
    </row>
    <row r="139" ht="18" customHeight="1">
      <c r="A139" s="10" t="inlineStr">
        <is>
          <t>3 этаж</t>
        </is>
      </c>
      <c r="B139" s="10" t="inlineStr">
        <is>
          <t>Офис</t>
        </is>
      </c>
      <c r="C139" s="10" t="n">
        <v>272</v>
      </c>
      <c r="D139" s="11" t="inlineStr">
        <is>
          <t>L3-SAN-005</t>
        </is>
      </c>
      <c r="E139" s="11" t="inlineStr">
        <is>
          <t>Сантехника</t>
        </is>
      </c>
      <c r="F139" s="11" t="inlineStr">
        <is>
          <t>Инсталляция для унитаза</t>
        </is>
      </c>
      <c r="G139" s="11" t="inlineStr">
        <is>
          <t>из исходной сметы</t>
        </is>
      </c>
      <c r="H139" s="10" t="inlineStr">
        <is>
          <t>шт</t>
        </is>
      </c>
      <c r="I139" s="33" t="n">
        <v>2</v>
      </c>
      <c r="J139" s="34" t="n">
        <v>3250000</v>
      </c>
      <c r="K139" s="35" t="n">
        <v>6500000</v>
      </c>
      <c r="L139" s="11" t="inlineStr">
        <is>
          <t>монтаж в металлоконструкцию (прим. 6 л.4)</t>
        </is>
      </c>
    </row>
    <row r="140" ht="18" customHeight="1">
      <c r="A140" s="5" t="inlineStr">
        <is>
          <t>3 этаж</t>
        </is>
      </c>
      <c r="B140" s="5" t="inlineStr">
        <is>
          <t>Офис</t>
        </is>
      </c>
      <c r="C140" s="5" t="n">
        <v>274</v>
      </c>
      <c r="D140" s="6" t="inlineStr">
        <is>
          <t>L3-SAN-007</t>
        </is>
      </c>
      <c r="E140" s="6" t="inlineStr">
        <is>
          <t>Сантехника</t>
        </is>
      </c>
      <c r="F140" s="6" t="inlineStr">
        <is>
          <t>Клавиша смыва инсталляции</t>
        </is>
      </c>
      <c r="G140" s="6" t="inlineStr">
        <is>
          <t>из исходной сметы</t>
        </is>
      </c>
      <c r="H140" s="5" t="inlineStr">
        <is>
          <t>шт</t>
        </is>
      </c>
      <c r="I140" s="30" t="n">
        <v>2</v>
      </c>
      <c r="J140" s="31" t="n">
        <v>650000</v>
      </c>
      <c r="K140" s="32" t="n">
        <v>1300000</v>
      </c>
      <c r="L140" s="6" t="inlineStr">
        <is>
          <t>ДОБАВЛЕНО: в РП нет</t>
        </is>
      </c>
    </row>
    <row r="141" ht="18" customHeight="1">
      <c r="A141" s="10" t="inlineStr">
        <is>
          <t>3 этаж</t>
        </is>
      </c>
      <c r="B141" s="10" t="inlineStr">
        <is>
          <t>Офис</t>
        </is>
      </c>
      <c r="C141" s="10" t="n">
        <v>275</v>
      </c>
      <c r="D141" s="11" t="inlineStr">
        <is>
          <t>L3-SAN-008</t>
        </is>
      </c>
      <c r="E141" s="11" t="inlineStr">
        <is>
          <t>Сантехника</t>
        </is>
      </c>
      <c r="F141" s="11" t="inlineStr">
        <is>
          <t>Смеситель для раковины</t>
        </is>
      </c>
      <c r="G141" s="11" t="inlineStr">
        <is>
          <t>из исходной сметы</t>
        </is>
      </c>
      <c r="H141" s="10" t="inlineStr">
        <is>
          <t>шт</t>
        </is>
      </c>
      <c r="I141" s="33" t="n">
        <v>1</v>
      </c>
      <c r="J141" s="34" t="n">
        <v>1200000</v>
      </c>
      <c r="K141" s="35" t="n">
        <v>1200000</v>
      </c>
      <c r="L141" s="11" t="inlineStr">
        <is>
          <t>ДОБАВЛЕНО: в РП нет</t>
        </is>
      </c>
    </row>
    <row r="142" ht="18" customHeight="1">
      <c r="A142" s="5" t="inlineStr">
        <is>
          <t>3 этаж</t>
        </is>
      </c>
      <c r="B142" s="5" t="inlineStr">
        <is>
          <t>Офис</t>
        </is>
      </c>
      <c r="C142" s="5" t="n">
        <v>277</v>
      </c>
      <c r="D142" s="6" t="inlineStr">
        <is>
          <t>L3-SAN-010</t>
        </is>
      </c>
      <c r="E142" s="6" t="inlineStr">
        <is>
          <t>Сантехника</t>
        </is>
      </c>
      <c r="F142" s="6" t="inlineStr">
        <is>
          <t>Держатель бумаги</t>
        </is>
      </c>
      <c r="G142" s="6" t="inlineStr">
        <is>
          <t>из исходной сметы</t>
        </is>
      </c>
      <c r="H142" s="5" t="inlineStr">
        <is>
          <t>шт</t>
        </is>
      </c>
      <c r="I142" s="30" t="n">
        <v>2</v>
      </c>
      <c r="J142" s="31" t="n">
        <v>250000</v>
      </c>
      <c r="K142" s="32" t="n">
        <v>500000</v>
      </c>
      <c r="L142" s="6" t="inlineStr">
        <is>
          <t>ДОБАВЛЕНО</t>
        </is>
      </c>
    </row>
    <row r="143" ht="18" customHeight="1">
      <c r="A143" s="10" t="inlineStr">
        <is>
          <t>3 этаж</t>
        </is>
      </c>
      <c r="B143" s="10" t="inlineStr">
        <is>
          <t>Офис</t>
        </is>
      </c>
      <c r="C143" s="10" t="n">
        <v>278</v>
      </c>
      <c r="D143" s="11" t="inlineStr">
        <is>
          <t>L3-SAN-011</t>
        </is>
      </c>
      <c r="E143" s="11" t="inlineStr">
        <is>
          <t>Сантехника</t>
        </is>
      </c>
      <c r="F143" s="11" t="inlineStr">
        <is>
          <t>Ведро мусорное с педалью 20 л, нерж.</t>
        </is>
      </c>
      <c r="G143" s="11" t="inlineStr">
        <is>
          <t>из исходной сметы</t>
        </is>
      </c>
      <c r="H143" s="10" t="inlineStr">
        <is>
          <t>шт</t>
        </is>
      </c>
      <c r="I143" s="33" t="n">
        <v>2</v>
      </c>
      <c r="J143" s="34" t="n">
        <v>750000</v>
      </c>
      <c r="K143" s="35" t="n">
        <v>1500000</v>
      </c>
      <c r="L143" s="11" t="inlineStr">
        <is>
          <t>ДОБАВЛЕНО</t>
        </is>
      </c>
    </row>
    <row r="144" ht="18" customHeight="1">
      <c r="A144" s="5" t="inlineStr">
        <is>
          <t>3 этаж</t>
        </is>
      </c>
      <c r="B144" s="5" t="inlineStr">
        <is>
          <t>Офис</t>
        </is>
      </c>
      <c r="C144" s="5" t="n">
        <v>279</v>
      </c>
      <c r="D144" s="6" t="inlineStr">
        <is>
          <t>L3-SAN-012</t>
        </is>
      </c>
      <c r="E144" s="6" t="inlineStr">
        <is>
          <t>Сантехника</t>
        </is>
      </c>
      <c r="F144" s="6" t="inlineStr">
        <is>
          <t>Диспенсер бумажных полотенец</t>
        </is>
      </c>
      <c r="G144" s="6" t="inlineStr">
        <is>
          <t>из исходной сметы</t>
        </is>
      </c>
      <c r="H144" s="5" t="inlineStr">
        <is>
          <t>шт</t>
        </is>
      </c>
      <c r="I144" s="30" t="n">
        <v>1</v>
      </c>
      <c r="J144" s="31" t="n">
        <v>800000</v>
      </c>
      <c r="K144" s="32" t="n">
        <v>800000</v>
      </c>
      <c r="L144" s="6" t="inlineStr">
        <is>
          <t>ДОБАВЛЕНО: С/у 22</t>
        </is>
      </c>
    </row>
    <row r="145" ht="18" customHeight="1">
      <c r="A145" s="10" t="inlineStr">
        <is>
          <t>3 этаж</t>
        </is>
      </c>
      <c r="B145" s="10" t="inlineStr">
        <is>
          <t>Офис</t>
        </is>
      </c>
      <c r="C145" s="10" t="n">
        <v>280</v>
      </c>
      <c r="D145" s="11" t="inlineStr">
        <is>
          <t>L3-SAN-013</t>
        </is>
      </c>
      <c r="E145" s="11" t="inlineStr">
        <is>
          <t>Сантехника</t>
        </is>
      </c>
      <c r="F145" s="11" t="inlineStr">
        <is>
          <t>Дозатор жидкого мыла</t>
        </is>
      </c>
      <c r="G145" s="11" t="inlineStr">
        <is>
          <t>из исходной сметы</t>
        </is>
      </c>
      <c r="H145" s="10" t="inlineStr">
        <is>
          <t>шт</t>
        </is>
      </c>
      <c r="I145" s="33" t="n">
        <v>1</v>
      </c>
      <c r="J145" s="34" t="n">
        <v>500000</v>
      </c>
      <c r="K145" s="35" t="n">
        <v>500000</v>
      </c>
      <c r="L145" s="11" t="inlineStr">
        <is>
          <t>ДОБАВЛЕНО: С/у 22</t>
        </is>
      </c>
    </row>
    <row r="146" ht="18" customHeight="1">
      <c r="A146" s="5" t="inlineStr">
        <is>
          <t>3 этаж</t>
        </is>
      </c>
      <c r="B146" s="5" t="inlineStr">
        <is>
          <t>Офис</t>
        </is>
      </c>
      <c r="C146" s="5" t="n">
        <v>283</v>
      </c>
      <c r="D146" s="6" t="inlineStr">
        <is>
          <t>L3-ELE-001</t>
        </is>
      </c>
      <c r="E146" s="6" t="inlineStr">
        <is>
          <t>Электрика</t>
        </is>
      </c>
      <c r="F146" s="6" t="inlineStr">
        <is>
          <t>Розетка одноместная</t>
        </is>
      </c>
      <c r="G146" s="6" t="inlineStr">
        <is>
          <t>из исходной сметы</t>
        </is>
      </c>
      <c r="H146" s="5" t="inlineStr">
        <is>
          <t>шт</t>
        </is>
      </c>
      <c r="I146" s="30" t="n">
        <v>67</v>
      </c>
      <c r="J146" s="31" t="n">
        <v>20400</v>
      </c>
      <c r="K146" s="32" t="n">
        <v>1366800</v>
      </c>
      <c r="L146" s="6" t="inlineStr">
        <is>
          <t>Прим. 18 РП: УГО двойной — 2 шт. Проверить, учтено ли в 67</t>
        </is>
      </c>
    </row>
    <row r="147" ht="18" customHeight="1">
      <c r="A147" s="10" t="inlineStr">
        <is>
          <t>3 этаж</t>
        </is>
      </c>
      <c r="B147" s="10" t="inlineStr">
        <is>
          <t>Офис</t>
        </is>
      </c>
      <c r="C147" s="10" t="n">
        <v>284</v>
      </c>
      <c r="D147" s="11" t="inlineStr">
        <is>
          <t>L3-ELE-002</t>
        </is>
      </c>
      <c r="E147" s="11" t="inlineStr">
        <is>
          <t>Электрика</t>
        </is>
      </c>
      <c r="F147" s="11" t="inlineStr">
        <is>
          <t>Розетка влагозащищённая IP44</t>
        </is>
      </c>
      <c r="G147" s="11" t="inlineStr">
        <is>
          <t>из исходной сметы</t>
        </is>
      </c>
      <c r="H147" s="10" t="inlineStr">
        <is>
          <t>шт</t>
        </is>
      </c>
      <c r="I147" s="33" t="n">
        <v>6</v>
      </c>
      <c r="J147" s="34" t="n">
        <v>27200</v>
      </c>
      <c r="K147" s="35" t="n">
        <v>163200</v>
      </c>
      <c r="L147" s="11" t="inlineStr">
        <is>
          <t>С/у, кухня</t>
        </is>
      </c>
    </row>
    <row r="148" ht="18" customHeight="1">
      <c r="A148" s="5" t="inlineStr">
        <is>
          <t>3 этаж</t>
        </is>
      </c>
      <c r="B148" s="5" t="inlineStr">
        <is>
          <t>Офис</t>
        </is>
      </c>
      <c r="C148" s="5" t="n">
        <v>285</v>
      </c>
      <c r="D148" s="6" t="inlineStr">
        <is>
          <t>L3-ELE-003</t>
        </is>
      </c>
      <c r="E148" s="6" t="inlineStr">
        <is>
          <t>Электрика</t>
        </is>
      </c>
      <c r="F148" s="6" t="inlineStr">
        <is>
          <t>Интернет розетка RJ-45</t>
        </is>
      </c>
      <c r="G148" s="6" t="inlineStr">
        <is>
          <t>из исходной сметы</t>
        </is>
      </c>
      <c r="H148" s="5" t="inlineStr">
        <is>
          <t>шт</t>
        </is>
      </c>
      <c r="I148" s="30" t="n">
        <v>16</v>
      </c>
      <c r="J148" s="31" t="n">
        <v>79000</v>
      </c>
      <c r="K148" s="32" t="n">
        <v>1264000</v>
      </c>
      <c r="L148" s="6" t="n"/>
    </row>
    <row r="149" ht="18" customHeight="1">
      <c r="A149" s="10" t="inlineStr">
        <is>
          <t>3 этаж</t>
        </is>
      </c>
      <c r="B149" s="10" t="inlineStr">
        <is>
          <t>Офис</t>
        </is>
      </c>
      <c r="C149" s="10" t="n">
        <v>286</v>
      </c>
      <c r="D149" s="11" t="inlineStr">
        <is>
          <t>L3-ELE-004</t>
        </is>
      </c>
      <c r="E149" s="11" t="inlineStr">
        <is>
          <t>Электрика</t>
        </is>
      </c>
      <c r="F149" s="11" t="inlineStr">
        <is>
          <t>HDMI розетка</t>
        </is>
      </c>
      <c r="G149" s="11" t="inlineStr">
        <is>
          <t>из исходной сметы</t>
        </is>
      </c>
      <c r="H149" s="10" t="inlineStr">
        <is>
          <t>шт</t>
        </is>
      </c>
      <c r="I149" s="33" t="n">
        <v>3</v>
      </c>
      <c r="J149" s="34" t="n">
        <v>75000</v>
      </c>
      <c r="K149" s="35" t="n">
        <v>225000</v>
      </c>
      <c r="L149" s="11" t="n"/>
    </row>
    <row r="150" ht="18" customHeight="1">
      <c r="A150" s="5" t="inlineStr">
        <is>
          <t>3 этаж</t>
        </is>
      </c>
      <c r="B150" s="5" t="inlineStr">
        <is>
          <t>Офис</t>
        </is>
      </c>
      <c r="C150" s="5" t="n">
        <v>287</v>
      </c>
      <c r="D150" s="6" t="inlineStr">
        <is>
          <t>L3-ELE-005</t>
        </is>
      </c>
      <c r="E150" s="6" t="inlineStr">
        <is>
          <t>Электрика</t>
        </is>
      </c>
      <c r="F150" s="6" t="inlineStr">
        <is>
          <t>Выключатель одноклавишный</t>
        </is>
      </c>
      <c r="G150" s="6" t="inlineStr">
        <is>
          <t>из исходной сметы</t>
        </is>
      </c>
      <c r="H150" s="5" t="inlineStr">
        <is>
          <t>шт</t>
        </is>
      </c>
      <c r="I150" s="30" t="n">
        <v>7</v>
      </c>
      <c r="J150" s="31" t="n">
        <v>20400</v>
      </c>
      <c r="K150" s="32" t="n">
        <v>142800</v>
      </c>
      <c r="L150" s="6" t="n"/>
    </row>
    <row r="151" ht="18" customHeight="1">
      <c r="A151" s="10" t="inlineStr">
        <is>
          <t>3 этаж</t>
        </is>
      </c>
      <c r="B151" s="10" t="inlineStr">
        <is>
          <t>Офис</t>
        </is>
      </c>
      <c r="C151" s="10" t="n">
        <v>288</v>
      </c>
      <c r="D151" s="11" t="inlineStr">
        <is>
          <t>L3-ELE-006</t>
        </is>
      </c>
      <c r="E151" s="11" t="inlineStr">
        <is>
          <t>Электрика</t>
        </is>
      </c>
      <c r="F151" s="11" t="inlineStr">
        <is>
          <t>Выключатель двухклавишный</t>
        </is>
      </c>
      <c r="G151" s="11" t="inlineStr">
        <is>
          <t>из исходной сметы</t>
        </is>
      </c>
      <c r="H151" s="10" t="inlineStr">
        <is>
          <t>шт</t>
        </is>
      </c>
      <c r="I151" s="33" t="n">
        <v>5</v>
      </c>
      <c r="J151" s="34" t="n">
        <v>23100</v>
      </c>
      <c r="K151" s="35" t="n">
        <v>115500</v>
      </c>
      <c r="L151" s="11" t="n"/>
    </row>
    <row r="152" ht="18" customHeight="1">
      <c r="A152" s="5" t="inlineStr">
        <is>
          <t>3 этаж</t>
        </is>
      </c>
      <c r="B152" s="5" t="inlineStr">
        <is>
          <t>Офис</t>
        </is>
      </c>
      <c r="C152" s="5" t="n">
        <v>292</v>
      </c>
      <c r="D152" s="6" t="inlineStr">
        <is>
          <t>L3-ELE-010</t>
        </is>
      </c>
      <c r="E152" s="6" t="inlineStr">
        <is>
          <t>Электрика</t>
        </is>
      </c>
      <c r="F152" s="6" t="inlineStr">
        <is>
          <t>Рамка 1 пост</t>
        </is>
      </c>
      <c r="G152" s="6" t="inlineStr">
        <is>
          <t>из исходной сметы</t>
        </is>
      </c>
      <c r="H152" s="5" t="inlineStr">
        <is>
          <t>шт</t>
        </is>
      </c>
      <c r="I152" s="30" t="n">
        <v>22</v>
      </c>
      <c r="J152" s="31" t="n">
        <v>6100</v>
      </c>
      <c r="K152" s="32" t="n">
        <v>134200</v>
      </c>
      <c r="L152" s="6" t="n"/>
    </row>
    <row r="153" ht="18" customHeight="1">
      <c r="A153" s="10" t="inlineStr">
        <is>
          <t>3 этаж</t>
        </is>
      </c>
      <c r="B153" s="10" t="inlineStr">
        <is>
          <t>Офис</t>
        </is>
      </c>
      <c r="C153" s="10" t="n">
        <v>293</v>
      </c>
      <c r="D153" s="11" t="inlineStr">
        <is>
          <t>L3-ELE-011</t>
        </is>
      </c>
      <c r="E153" s="11" t="inlineStr">
        <is>
          <t>Электрика</t>
        </is>
      </c>
      <c r="F153" s="11" t="inlineStr">
        <is>
          <t>Рамка 2 поста</t>
        </is>
      </c>
      <c r="G153" s="11" t="inlineStr">
        <is>
          <t>из исходной сметы</t>
        </is>
      </c>
      <c r="H153" s="10" t="inlineStr">
        <is>
          <t>шт</t>
        </is>
      </c>
      <c r="I153" s="33" t="n">
        <v>16</v>
      </c>
      <c r="J153" s="34" t="n">
        <v>16300</v>
      </c>
      <c r="K153" s="35" t="n">
        <v>260800</v>
      </c>
      <c r="L153" s="11" t="n"/>
    </row>
    <row r="154" ht="18" customHeight="1">
      <c r="A154" s="5" t="inlineStr">
        <is>
          <t>3 этаж</t>
        </is>
      </c>
      <c r="B154" s="5" t="inlineStr">
        <is>
          <t>Офис</t>
        </is>
      </c>
      <c r="C154" s="5" t="n">
        <v>295</v>
      </c>
      <c r="D154" s="6" t="inlineStr">
        <is>
          <t>L3-ELE-013</t>
        </is>
      </c>
      <c r="E154" s="6" t="inlineStr">
        <is>
          <t>Электрика</t>
        </is>
      </c>
      <c r="F154" s="6" t="inlineStr">
        <is>
          <t>Рамка 4 поста</t>
        </is>
      </c>
      <c r="G154" s="6" t="inlineStr">
        <is>
          <t>из исходной сметы</t>
        </is>
      </c>
      <c r="H154" s="5" t="inlineStr">
        <is>
          <t>шт</t>
        </is>
      </c>
      <c r="I154" s="30" t="n">
        <v>1</v>
      </c>
      <c r="J154" s="31" t="n">
        <v>25900</v>
      </c>
      <c r="K154" s="32" t="n">
        <v>25900</v>
      </c>
      <c r="L154" s="6" t="n"/>
    </row>
    <row r="155" ht="18" customHeight="1">
      <c r="A155" s="10" t="inlineStr">
        <is>
          <t>3 этаж</t>
        </is>
      </c>
      <c r="B155" s="10" t="inlineStr">
        <is>
          <t>Офис</t>
        </is>
      </c>
      <c r="C155" s="10" t="n">
        <v>300</v>
      </c>
      <c r="D155" s="11" t="inlineStr">
        <is>
          <t>L3-LGT-003</t>
        </is>
      </c>
      <c r="E155" s="11" t="inlineStr">
        <is>
          <t>Освещение и LED</t>
        </is>
      </c>
      <c r="F155" s="11" t="inlineStr">
        <is>
          <t>Трек 2000 мм, подвес 340 мм + 2 спота (споты — L-7)</t>
        </is>
      </c>
      <c r="G155" s="11" t="inlineStr">
        <is>
          <t>из исходной сметы</t>
        </is>
      </c>
      <c r="H155" s="10" t="inlineStr">
        <is>
          <t>шт</t>
        </is>
      </c>
      <c r="I155" s="33" t="n">
        <v>1</v>
      </c>
      <c r="J155" s="34" t="n">
        <v>218100</v>
      </c>
      <c r="K155" s="35" t="n">
        <v>218100</v>
      </c>
      <c r="L155" s="11" t="n"/>
    </row>
    <row r="156" ht="18" customHeight="1">
      <c r="A156" s="5" t="inlineStr">
        <is>
          <t>3 этаж</t>
        </is>
      </c>
      <c r="B156" s="5" t="inlineStr">
        <is>
          <t>Офис</t>
        </is>
      </c>
      <c r="C156" s="5" t="n">
        <v>301</v>
      </c>
      <c r="D156" s="6" t="inlineStr">
        <is>
          <t>L3-LGT-004</t>
        </is>
      </c>
      <c r="E156" s="6" t="inlineStr">
        <is>
          <t>Освещение и LED</t>
        </is>
      </c>
      <c r="F156" s="6" t="inlineStr">
        <is>
          <t>Спот трековый поворотный</t>
        </is>
      </c>
      <c r="G156" s="6" t="inlineStr">
        <is>
          <t>из исходной сметы</t>
        </is>
      </c>
      <c r="H156" s="5" t="inlineStr">
        <is>
          <t>шт</t>
        </is>
      </c>
      <c r="I156" s="30" t="n">
        <v>26</v>
      </c>
      <c r="J156" s="31" t="n">
        <v>177200</v>
      </c>
      <c r="K156" s="32" t="n">
        <v>4607200</v>
      </c>
      <c r="L156" s="6" t="inlineStr">
        <is>
          <t>26 = 3×4 + 4×3 + 1×2 — это споты треков L-4…L-6. НЕ закупать дважды</t>
        </is>
      </c>
    </row>
    <row r="157" ht="18" customHeight="1">
      <c r="A157" s="10" t="inlineStr">
        <is>
          <t>3 этаж</t>
        </is>
      </c>
      <c r="B157" s="10" t="inlineStr">
        <is>
          <t>Офис</t>
        </is>
      </c>
      <c r="C157" s="10" t="n">
        <v>302</v>
      </c>
      <c r="D157" s="11" t="inlineStr">
        <is>
          <t>L3-LGT-005</t>
        </is>
      </c>
      <c r="E157" s="11" t="inlineStr">
        <is>
          <t>Освещение и LED</t>
        </is>
      </c>
      <c r="F157" s="11" t="inlineStr">
        <is>
          <t>Светильник точечный</t>
        </is>
      </c>
      <c r="G157" s="11" t="inlineStr">
        <is>
          <t>из исходной сметы</t>
        </is>
      </c>
      <c r="H157" s="10" t="inlineStr">
        <is>
          <t>шт</t>
        </is>
      </c>
      <c r="I157" s="33" t="n">
        <v>28</v>
      </c>
      <c r="J157" s="34" t="n">
        <v>218100</v>
      </c>
      <c r="K157" s="35" t="n">
        <v>6106800</v>
      </c>
      <c r="L157" s="11" t="inlineStr">
        <is>
          <t>цена накладного из фитнеса; в сетку cf-1 может понадобиться встраиваемый — уточнить</t>
        </is>
      </c>
    </row>
    <row r="158" ht="18" customHeight="1">
      <c r="A158" s="5" t="inlineStr">
        <is>
          <t>3 этаж</t>
        </is>
      </c>
      <c r="B158" s="5" t="inlineStr">
        <is>
          <t>Офис</t>
        </is>
      </c>
      <c r="C158" s="5" t="n">
        <v>308</v>
      </c>
      <c r="D158" s="6" t="inlineStr">
        <is>
          <t>L3-LGT-011</t>
        </is>
      </c>
      <c r="E158" s="6" t="inlineStr">
        <is>
          <t>Освещение и LED</t>
        </is>
      </c>
      <c r="F158" s="6" t="inlineStr">
        <is>
          <t>Светильник аварийный с БАП</t>
        </is>
      </c>
      <c r="G158" s="6" t="inlineStr">
        <is>
          <t>из исходной сметы</t>
        </is>
      </c>
      <c r="H158" s="5" t="inlineStr">
        <is>
          <t>шт</t>
        </is>
      </c>
      <c r="I158" s="30" t="n">
        <v>4</v>
      </c>
      <c r="J158" s="31" t="n">
        <v>163600</v>
      </c>
      <c r="K158" s="32" t="n">
        <v>654400</v>
      </c>
      <c r="L158" s="6" t="inlineStr">
        <is>
          <t>ДОБАВЛЕНО: коридор, ЛК, пути эвакуации — в пределах нормы</t>
        </is>
      </c>
    </row>
    <row r="159" ht="18" customHeight="1">
      <c r="A159" s="10" t="inlineStr">
        <is>
          <t>3 этаж</t>
        </is>
      </c>
      <c r="B159" s="10" t="inlineStr">
        <is>
          <t>Офис</t>
        </is>
      </c>
      <c r="C159" s="10" t="n">
        <v>309</v>
      </c>
      <c r="D159" s="11" t="inlineStr">
        <is>
          <t>L3-LGT-012</t>
        </is>
      </c>
      <c r="E159" s="11" t="inlineStr">
        <is>
          <t>Освещение и LED</t>
        </is>
      </c>
      <c r="F159" s="11" t="inlineStr">
        <is>
          <t>Указатель «ВЫХОД» с БАП</t>
        </is>
      </c>
      <c r="G159" s="11" t="inlineStr">
        <is>
          <t>из исходной сметы</t>
        </is>
      </c>
      <c r="H159" s="10" t="inlineStr">
        <is>
          <t>шт</t>
        </is>
      </c>
      <c r="I159" s="33" t="n">
        <v>2</v>
      </c>
      <c r="J159" s="34" t="n">
        <v>163600</v>
      </c>
      <c r="K159" s="35" t="n">
        <v>327200</v>
      </c>
      <c r="L159" s="11" t="inlineStr">
        <is>
          <t>ДОБАВЛЕНО: у выхода на лестницу</t>
        </is>
      </c>
    </row>
    <row r="160" ht="18" customHeight="1">
      <c r="A160" s="5" t="inlineStr">
        <is>
          <t>3 этаж</t>
        </is>
      </c>
      <c r="B160" s="5" t="inlineStr">
        <is>
          <t>Офис</t>
        </is>
      </c>
      <c r="C160" s="5" t="n">
        <v>310</v>
      </c>
      <c r="D160" s="6" t="inlineStr">
        <is>
          <t>L3-LGT-013</t>
        </is>
      </c>
      <c r="E160" s="6" t="inlineStr">
        <is>
          <t>Освещение и LED</t>
        </is>
      </c>
      <c r="F160" s="6" t="inlineStr">
        <is>
          <t>LED-лента в скрытом плинтусе Пл-1</t>
        </is>
      </c>
      <c r="G160" s="6" t="inlineStr">
        <is>
          <t>из исходной сметы</t>
        </is>
      </c>
      <c r="H160" s="5" t="inlineStr">
        <is>
          <t>м</t>
        </is>
      </c>
      <c r="I160" s="30" t="n">
        <v>56.6</v>
      </c>
      <c r="J160" s="31" t="n">
        <v>21800</v>
      </c>
      <c r="K160" s="32" t="n">
        <v>1233880</v>
      </c>
      <c r="L160" s="6" t="inlineStr">
        <is>
          <t>метраж = плинтус л.18; профиль плинтуса — лист «Отделка»</t>
        </is>
      </c>
    </row>
    <row r="161" ht="18" customHeight="1">
      <c r="A161" s="10" t="inlineStr">
        <is>
          <t>3 этаж</t>
        </is>
      </c>
      <c r="B161" s="10" t="inlineStr">
        <is>
          <t>Офис</t>
        </is>
      </c>
      <c r="C161" s="10" t="n">
        <v>312</v>
      </c>
      <c r="D161" s="11" t="inlineStr">
        <is>
          <t>L3-LGT-015</t>
        </is>
      </c>
      <c r="E161" s="11" t="inlineStr">
        <is>
          <t>Освещение и LED</t>
        </is>
      </c>
      <c r="F161" s="11" t="inlineStr">
        <is>
          <t>Блок питания трека 200 Вт</t>
        </is>
      </c>
      <c r="G161" s="11" t="inlineStr">
        <is>
          <t>из исходной сметы</t>
        </is>
      </c>
      <c r="H161" s="10" t="inlineStr">
        <is>
          <t>шт</t>
        </is>
      </c>
      <c r="I161" s="33" t="n">
        <v>3</v>
      </c>
      <c r="J161" s="34" t="n">
        <v>231800</v>
      </c>
      <c r="K161" s="35" t="n">
        <v>695400</v>
      </c>
      <c r="L161" s="11" t="inlineStr">
        <is>
          <t>уточнить мощность спота</t>
        </is>
      </c>
    </row>
    <row r="162" ht="18" customHeight="1">
      <c r="A162" s="5" t="inlineStr">
        <is>
          <t>3 этаж</t>
        </is>
      </c>
      <c r="B162" s="5" t="inlineStr">
        <is>
          <t>Офис</t>
        </is>
      </c>
      <c r="C162" s="5" t="n">
        <v>313</v>
      </c>
      <c r="D162" s="6" t="inlineStr">
        <is>
          <t>L3-LGT-016</t>
        </is>
      </c>
      <c r="E162" s="6" t="inlineStr">
        <is>
          <t>Освещение и LED</t>
        </is>
      </c>
      <c r="F162" s="6" t="inlineStr">
        <is>
          <t>Блок питания LED-ленты 200 Вт</t>
        </is>
      </c>
      <c r="G162" s="6" t="inlineStr">
        <is>
          <t>из исходной сметы</t>
        </is>
      </c>
      <c r="H162" s="5" t="inlineStr">
        <is>
          <t>шт</t>
        </is>
      </c>
      <c r="I162" s="30" t="n">
        <v>5</v>
      </c>
      <c r="J162" s="31" t="n">
        <v>163600</v>
      </c>
      <c r="K162" s="32" t="n">
        <v>818000</v>
      </c>
      <c r="L162" s="6" t="inlineStr">
        <is>
          <t>прим. 12 РП: трансформаторы вывести в электрощиток</t>
        </is>
      </c>
    </row>
    <row r="163" ht="18" customHeight="1">
      <c r="A163" s="10" t="inlineStr">
        <is>
          <t>3 этаж</t>
        </is>
      </c>
      <c r="B163" s="10" t="inlineStr">
        <is>
          <t>Офис</t>
        </is>
      </c>
      <c r="C163" s="10" t="n">
        <v>314</v>
      </c>
      <c r="D163" s="11" t="inlineStr">
        <is>
          <t>L3-LGT-017</t>
        </is>
      </c>
      <c r="E163" s="11" t="inlineStr">
        <is>
          <t>Освещение и LED</t>
        </is>
      </c>
      <c r="F163" s="11" t="inlineStr">
        <is>
          <t>Подвес тросовый для трека (комплект)</t>
        </is>
      </c>
      <c r="G163" s="11" t="inlineStr">
        <is>
          <t>из исходной сметы</t>
        </is>
      </c>
      <c r="H163" s="10" t="inlineStr">
        <is>
          <t>компл</t>
        </is>
      </c>
      <c r="I163" s="33" t="n">
        <v>14</v>
      </c>
      <c r="J163" s="34" t="n">
        <v>34000</v>
      </c>
      <c r="K163" s="35" t="n">
        <v>476000</v>
      </c>
      <c r="L163" s="11" t="n"/>
    </row>
    <row r="164" ht="18" customHeight="1">
      <c r="A164" s="5" t="inlineStr">
        <is>
          <t>3 этаж</t>
        </is>
      </c>
      <c r="B164" s="5" t="inlineStr">
        <is>
          <t>Офис</t>
        </is>
      </c>
      <c r="C164" s="5" t="n">
        <v>315</v>
      </c>
      <c r="D164" s="6" t="inlineStr">
        <is>
          <t>L3-LGT-018</t>
        </is>
      </c>
      <c r="E164" s="6" t="inlineStr">
        <is>
          <t>Освещение и LED</t>
        </is>
      </c>
      <c r="F164" s="6" t="inlineStr">
        <is>
          <t>Подвес тросовый для линейных L-9, L-10 (по 2 на светильник)</t>
        </is>
      </c>
      <c r="G164" s="6" t="inlineStr">
        <is>
          <t>из исходной сметы</t>
        </is>
      </c>
      <c r="H164" s="5" t="inlineStr">
        <is>
          <t>шт</t>
        </is>
      </c>
      <c r="I164" s="30" t="n">
        <v>104</v>
      </c>
      <c r="J164" s="31" t="n">
        <v>34000</v>
      </c>
      <c r="K164" s="32" t="n">
        <v>3536000</v>
      </c>
      <c r="L164" s="6" t="inlineStr">
        <is>
          <t>ДОБАВЛЕНО: только если не в комплекте светильника — спросить поставщика</t>
        </is>
      </c>
    </row>
    <row r="165" ht="18" customHeight="1">
      <c r="A165" s="10" t="inlineStr">
        <is>
          <t>3 этаж</t>
        </is>
      </c>
      <c r="B165" s="10" t="inlineStr">
        <is>
          <t>Офис</t>
        </is>
      </c>
      <c r="C165" s="10" t="n">
        <v>318</v>
      </c>
      <c r="D165" s="11" t="inlineStr">
        <is>
          <t>L3-FIN-001</t>
        </is>
      </c>
      <c r="E165" s="11" t="inlineStr">
        <is>
          <t>Отделка (стены, потолок, полы)</t>
        </is>
      </c>
      <c r="F165" s="11" t="inlineStr">
        <is>
          <t>Покраска белая RAL 9010</t>
        </is>
      </c>
      <c r="G165" s="11" t="inlineStr">
        <is>
          <t>из исходной сметы</t>
        </is>
      </c>
      <c r="H165" s="10" t="inlineStr">
        <is>
          <t>м²</t>
        </is>
      </c>
      <c r="I165" s="33" t="n">
        <v>141.2</v>
      </c>
      <c r="J165" s="34" t="n">
        <v>28500</v>
      </c>
      <c r="K165" s="35" t="n">
        <v>4024200</v>
      </c>
      <c r="L165" s="11" t="inlineStr">
        <is>
          <t>в фитнесе окраска 19 300–29 400 сум/м² по цвету, для белой цены нет</t>
        </is>
      </c>
    </row>
    <row r="166" ht="18" customHeight="1">
      <c r="A166" s="5" t="inlineStr">
        <is>
          <t>3 этаж</t>
        </is>
      </c>
      <c r="B166" s="5" t="inlineStr">
        <is>
          <t>Офис</t>
        </is>
      </c>
      <c r="C166" s="5" t="n">
        <v>319</v>
      </c>
      <c r="D166" s="6" t="inlineStr">
        <is>
          <t>L3-FIN-002</t>
        </is>
      </c>
      <c r="E166" s="6" t="inlineStr">
        <is>
          <t>Отделка (стены, потолок, полы)</t>
        </is>
      </c>
      <c r="F166" s="6" t="inlineStr">
        <is>
          <t>Панель МДФ под дерево</t>
        </is>
      </c>
      <c r="G166" s="6" t="inlineStr">
        <is>
          <t>из исходной сметы</t>
        </is>
      </c>
      <c r="H166" s="5" t="inlineStr">
        <is>
          <t>м²</t>
        </is>
      </c>
      <c r="I166" s="30" t="n">
        <v>12.9</v>
      </c>
      <c r="J166" s="31" t="n">
        <v>350000</v>
      </c>
      <c r="K166" s="32" t="n">
        <v>4515000</v>
      </c>
      <c r="L166" s="6" t="inlineStr">
        <is>
          <t>колонны, обрамления</t>
        </is>
      </c>
    </row>
    <row r="167" ht="18" customHeight="1">
      <c r="A167" s="10" t="inlineStr">
        <is>
          <t>3 этаж</t>
        </is>
      </c>
      <c r="B167" s="10" t="inlineStr">
        <is>
          <t>Офис</t>
        </is>
      </c>
      <c r="C167" s="10" t="n">
        <v>323</v>
      </c>
      <c r="D167" s="11" t="inlineStr">
        <is>
          <t>L3-FIN-006</t>
        </is>
      </c>
      <c r="E167" s="11" t="inlineStr">
        <is>
          <t>Отделка (стены, потолок, полы)</t>
        </is>
      </c>
      <c r="F167" s="11" t="inlineStr">
        <is>
          <t>Панель бамбуковая тип 1</t>
        </is>
      </c>
      <c r="G167" s="11" t="inlineStr">
        <is>
          <t>из исходной сметы</t>
        </is>
      </c>
      <c r="H167" s="10" t="inlineStr">
        <is>
          <t>м²</t>
        </is>
      </c>
      <c r="I167" s="33" t="n">
        <v>57.1</v>
      </c>
      <c r="J167" s="34" t="n">
        <v>350000</v>
      </c>
      <c r="K167" s="35" t="n">
        <v>19985000</v>
      </c>
      <c r="L167" s="11" t="n"/>
    </row>
    <row r="168" ht="18" customHeight="1">
      <c r="A168" s="5" t="inlineStr">
        <is>
          <t>3 этаж</t>
        </is>
      </c>
      <c r="B168" s="5" t="inlineStr">
        <is>
          <t>Офис</t>
        </is>
      </c>
      <c r="C168" s="5" t="n">
        <v>324</v>
      </c>
      <c r="D168" s="6" t="inlineStr">
        <is>
          <t>L3-FIN-007</t>
        </is>
      </c>
      <c r="E168" s="6" t="inlineStr">
        <is>
          <t>Отделка (стены, потолок, полы)</t>
        </is>
      </c>
      <c r="F168" s="6" t="inlineStr">
        <is>
          <t>Панель бамбуковая тип 2, окраска RAL 3022</t>
        </is>
      </c>
      <c r="G168" s="6" t="inlineStr">
        <is>
          <t>из исходной сметы</t>
        </is>
      </c>
      <c r="H168" s="5" t="inlineStr">
        <is>
          <t>м²</t>
        </is>
      </c>
      <c r="I168" s="30" t="n">
        <v>19.4</v>
      </c>
      <c r="J168" s="31" t="n">
        <v>350000</v>
      </c>
      <c r="K168" s="32" t="n">
        <v>6790000</v>
      </c>
      <c r="L168" s="6" t="inlineStr">
        <is>
          <t>окраска панели в цвет — уточнить у поставщика</t>
        </is>
      </c>
    </row>
    <row r="169" ht="18" customHeight="1">
      <c r="A169" s="10" t="inlineStr">
        <is>
          <t>3 этаж</t>
        </is>
      </c>
      <c r="B169" s="10" t="inlineStr">
        <is>
          <t>Офис</t>
        </is>
      </c>
      <c r="C169" s="10" t="n">
        <v>326</v>
      </c>
      <c r="D169" s="11" t="inlineStr">
        <is>
          <t>L3-FIN-009</t>
        </is>
      </c>
      <c r="E169" s="11" t="inlineStr">
        <is>
          <t>Отделка (стены, потолок, полы)</t>
        </is>
      </c>
      <c r="F169" s="11" t="inlineStr">
        <is>
          <t>Панель бамбуковая тип 4, белая RAL 9010</t>
        </is>
      </c>
      <c r="G169" s="11" t="inlineStr">
        <is>
          <t>из исходной сметы</t>
        </is>
      </c>
      <c r="H169" s="10" t="inlineStr">
        <is>
          <t>м²</t>
        </is>
      </c>
      <c r="I169" s="33" t="n">
        <v>46.4</v>
      </c>
      <c r="J169" s="34" t="n">
        <v>350000</v>
      </c>
      <c r="K169" s="35" t="n">
        <v>16240000</v>
      </c>
      <c r="L169" s="11" t="n"/>
    </row>
    <row r="170" ht="18" customHeight="1">
      <c r="A170" s="5" t="inlineStr">
        <is>
          <t>3 этаж</t>
        </is>
      </c>
      <c r="B170" s="5" t="inlineStr">
        <is>
          <t>Офис</t>
        </is>
      </c>
      <c r="C170" s="5" t="n">
        <v>327</v>
      </c>
      <c r="D170" s="6" t="inlineStr">
        <is>
          <t>L3-FIN-010</t>
        </is>
      </c>
      <c r="E170" s="6" t="inlineStr">
        <is>
          <t>Отделка (стены, потолок, полы)</t>
        </is>
      </c>
      <c r="F170" s="6" t="inlineStr">
        <is>
          <t>Керамогранит тип 5 1200×600 — стены С/у</t>
        </is>
      </c>
      <c r="G170" s="6" t="inlineStr">
        <is>
          <t>из исходной сметы</t>
        </is>
      </c>
      <c r="H170" s="5" t="inlineStr">
        <is>
          <t>м²</t>
        </is>
      </c>
      <c r="I170" s="30" t="n">
        <v>56.9</v>
      </c>
      <c r="J170" s="31" t="n">
        <v>395000</v>
      </c>
      <c r="K170" s="32" t="n">
        <v>22475500</v>
      </c>
      <c r="L170" s="6" t="inlineStr">
        <is>
          <t>одна партия с НП-1 (один тон и калибр)</t>
        </is>
      </c>
    </row>
    <row r="171" ht="18" customHeight="1">
      <c r="A171" s="10" t="inlineStr">
        <is>
          <t>3 этаж</t>
        </is>
      </c>
      <c r="B171" s="10" t="inlineStr">
        <is>
          <t>Офис</t>
        </is>
      </c>
      <c r="C171" s="10" t="n">
        <v>328</v>
      </c>
      <c r="D171" s="11" t="inlineStr">
        <is>
          <t>L3-FIN-011</t>
        </is>
      </c>
      <c r="E171" s="11" t="inlineStr">
        <is>
          <t>Отделка (стены, потолок, полы)</t>
        </is>
      </c>
      <c r="F171" s="11" t="inlineStr">
        <is>
          <t>Керамогранит тип 6 600×600 — фартук кухни</t>
        </is>
      </c>
      <c r="G171" s="11" t="inlineStr">
        <is>
          <t>из исходной сметы</t>
        </is>
      </c>
      <c r="H171" s="10" t="inlineStr">
        <is>
          <t>м²</t>
        </is>
      </c>
      <c r="I171" s="33" t="n">
        <v>2.1</v>
      </c>
      <c r="J171" s="34" t="n">
        <v>395000</v>
      </c>
      <c r="K171" s="35" t="n">
        <v>829500</v>
      </c>
      <c r="L171" s="11" t="inlineStr">
        <is>
          <t>одна партия с НП-3</t>
        </is>
      </c>
    </row>
    <row r="172" ht="18" customHeight="1">
      <c r="A172" s="5" t="inlineStr">
        <is>
          <t>3 этаж</t>
        </is>
      </c>
      <c r="B172" s="5" t="inlineStr">
        <is>
          <t>Офис</t>
        </is>
      </c>
      <c r="C172" s="5" t="n">
        <v>339</v>
      </c>
      <c r="D172" s="6" t="inlineStr">
        <is>
          <t>L3-FIN-022</t>
        </is>
      </c>
      <c r="E172" s="6" t="inlineStr">
        <is>
          <t>Отделка (стены, потолок, полы)</t>
        </is>
      </c>
      <c r="F172" s="6" t="inlineStr">
        <is>
          <t>Гидроизоляция обмазочная — С/у 22, 24, 25 (пол + заход на стены)</t>
        </is>
      </c>
      <c r="G172" s="6" t="inlineStr">
        <is>
          <t>из исходной сметы</t>
        </is>
      </c>
      <c r="H172" s="5" t="inlineStr">
        <is>
          <t>м²</t>
        </is>
      </c>
      <c r="I172" s="30" t="n">
        <v>18</v>
      </c>
      <c r="J172" s="31" t="n">
        <v>80000</v>
      </c>
      <c r="K172" s="32" t="n">
        <v>1440000</v>
      </c>
      <c r="L172" s="6" t="inlineStr">
        <is>
          <t>ДОБАВЛЕНО: как в фитнесе</t>
        </is>
      </c>
    </row>
    <row r="173" ht="18" customHeight="1">
      <c r="A173" s="10" t="inlineStr">
        <is>
          <t>крыша</t>
        </is>
      </c>
      <c r="B173" s="10" t="inlineStr">
        <is>
          <t>Терраса</t>
        </is>
      </c>
      <c r="C173" s="10" t="n">
        <v>377</v>
      </c>
      <c r="D173" s="11" t="inlineStr">
        <is>
          <t>L4-PER-004</t>
        </is>
      </c>
      <c r="E173" s="11" t="inlineStr">
        <is>
          <t>Перегородки, двери, остекление</t>
        </is>
      </c>
      <c r="F173" s="11" t="inlineStr">
        <is>
          <t>Витраж h 3000: раздвижная система Imzo, алюм. профиль, 18 мм, с фурнитурой</t>
        </is>
      </c>
      <c r="G173" s="11" t="inlineStr">
        <is>
          <t>из сметы: общая 128 000 000 / 83 м²</t>
        </is>
      </c>
      <c r="H173" s="10" t="inlineStr">
        <is>
          <t>м²</t>
        </is>
      </c>
      <c r="I173" s="33" t="n">
        <v>83</v>
      </c>
      <c r="J173" s="34" t="n">
        <v>1542169</v>
      </c>
      <c r="K173" s="35" t="n">
        <v>128000000</v>
      </c>
      <c r="L173" s="11" t="inlineStr">
        <is>
          <t>83 м² ≈ длина по развёрткам ~29 м × ~2,85 м. Цена — комплект, вариант 2 Imzo, выбран 07.09.2026</t>
        </is>
      </c>
    </row>
    <row r="174" ht="18" customHeight="1">
      <c r="A174" s="5" t="inlineStr">
        <is>
          <t>крыша</t>
        </is>
      </c>
      <c r="B174" s="5" t="inlineStr">
        <is>
          <t>Терраса</t>
        </is>
      </c>
      <c r="C174" s="5" t="n">
        <v>380</v>
      </c>
      <c r="D174" s="6" t="inlineStr">
        <is>
          <t>L4-SAN-001</t>
        </is>
      </c>
      <c r="E174" s="6" t="inlineStr">
        <is>
          <t>Сантехника</t>
        </is>
      </c>
      <c r="F174" s="6" t="inlineStr">
        <is>
          <t>Смеситель</t>
        </is>
      </c>
      <c r="G174" s="6" t="inlineStr">
        <is>
          <t>из исходной сметы</t>
        </is>
      </c>
      <c r="H174" s="5" t="inlineStr">
        <is>
          <t>шт</t>
        </is>
      </c>
      <c r="I174" s="30" t="n">
        <v>1</v>
      </c>
      <c r="J174" s="31" t="n">
        <v>1200000</v>
      </c>
      <c r="K174" s="32" t="n">
        <v>1200000</v>
      </c>
      <c r="L174" s="6" t="inlineStr">
        <is>
          <t>бар, мойка С6. Цена: «Кухонный смеситель» (таблица сантехники)</t>
        </is>
      </c>
    </row>
    <row r="175" ht="18" customHeight="1">
      <c r="A175" s="10" t="inlineStr">
        <is>
          <t>крыша</t>
        </is>
      </c>
      <c r="B175" s="10" t="inlineStr">
        <is>
          <t>Терраса</t>
        </is>
      </c>
      <c r="C175" s="10" t="n">
        <v>381</v>
      </c>
      <c r="D175" s="11" t="inlineStr">
        <is>
          <t>L4-SAN-002</t>
        </is>
      </c>
      <c r="E175" s="11" t="inlineStr">
        <is>
          <t>Сантехника</t>
        </is>
      </c>
      <c r="F175" s="11" t="inlineStr">
        <is>
          <t>Смеситель настенный</t>
        </is>
      </c>
      <c r="G175" s="11" t="inlineStr">
        <is>
          <t>из исходной сметы</t>
        </is>
      </c>
      <c r="H175" s="10" t="inlineStr">
        <is>
          <t>шт</t>
        </is>
      </c>
      <c r="I175" s="33" t="n">
        <v>1</v>
      </c>
      <c r="J175" s="34" t="n">
        <v>900000</v>
      </c>
      <c r="K175" s="35" t="n">
        <v>900000</v>
      </c>
      <c r="L175" s="11" t="inlineStr">
        <is>
          <t>санузел, над С3. Цена: «Накладной смеситель» — все 3 типа по 900 000</t>
        </is>
      </c>
    </row>
    <row r="176" ht="18" customHeight="1">
      <c r="A176" s="5" t="inlineStr">
        <is>
          <t>крыша</t>
        </is>
      </c>
      <c r="B176" s="5" t="inlineStr">
        <is>
          <t>Терраса</t>
        </is>
      </c>
      <c r="C176" s="5" t="n">
        <v>382</v>
      </c>
      <c r="D176" s="6" t="inlineStr">
        <is>
          <t>L4-SAN-003</t>
        </is>
      </c>
      <c r="E176" s="6" t="inlineStr">
        <is>
          <t>Сантехника</t>
        </is>
      </c>
      <c r="F176" s="6" t="inlineStr">
        <is>
          <t>Раковина</t>
        </is>
      </c>
      <c r="G176" s="6" t="inlineStr">
        <is>
          <t>из исходной сметы</t>
        </is>
      </c>
      <c r="H176" s="5" t="inlineStr">
        <is>
          <t>шт</t>
        </is>
      </c>
      <c r="I176" s="30" t="n">
        <v>1</v>
      </c>
      <c r="J176" s="31" t="n">
        <v>1300000</v>
      </c>
      <c r="K176" s="32" t="n">
        <v>1300000</v>
      </c>
      <c r="L176" s="6" t="inlineStr">
        <is>
          <t>санузел, накладная на тумбе М2. Цена: «Накладная раковина в С/У 600×400» — размер нашей раковины уточнить</t>
        </is>
      </c>
    </row>
    <row r="177" ht="18" customHeight="1">
      <c r="A177" s="10" t="inlineStr">
        <is>
          <t>крыша</t>
        </is>
      </c>
      <c r="B177" s="10" t="inlineStr">
        <is>
          <t>Терраса</t>
        </is>
      </c>
      <c r="C177" s="10" t="n">
        <v>383</v>
      </c>
      <c r="D177" s="11" t="inlineStr">
        <is>
          <t>L4-SAN-004</t>
        </is>
      </c>
      <c r="E177" s="11" t="inlineStr">
        <is>
          <t>Сантехника</t>
        </is>
      </c>
      <c r="F177" s="11" t="inlineStr">
        <is>
          <t>Унитаз подвесной</t>
        </is>
      </c>
      <c r="G177" s="11" t="inlineStr">
        <is>
          <t>из исходной сметы</t>
        </is>
      </c>
      <c r="H177" s="10" t="inlineStr">
        <is>
          <t>шт</t>
        </is>
      </c>
      <c r="I177" s="33" t="n">
        <v>1</v>
      </c>
      <c r="J177" s="34" t="n">
        <v>2500000</v>
      </c>
      <c r="K177" s="35" t="n">
        <v>2500000</v>
      </c>
      <c r="L177" s="11" t="inlineStr">
        <is>
          <t>санузел. Цена: таблица сантехники</t>
        </is>
      </c>
    </row>
    <row r="178" ht="18" customHeight="1">
      <c r="A178" s="5" t="inlineStr">
        <is>
          <t>крыша</t>
        </is>
      </c>
      <c r="B178" s="5" t="inlineStr">
        <is>
          <t>Терраса</t>
        </is>
      </c>
      <c r="C178" s="5" t="n">
        <v>384</v>
      </c>
      <c r="D178" s="6" t="inlineStr">
        <is>
          <t>L4-SAN-005</t>
        </is>
      </c>
      <c r="E178" s="6" t="inlineStr">
        <is>
          <t>Сантехника</t>
        </is>
      </c>
      <c r="F178" s="6" t="inlineStr">
        <is>
          <t>Инсталляция для унитаза</t>
        </is>
      </c>
      <c r="G178" s="6" t="inlineStr">
        <is>
          <t>из исходной сметы</t>
        </is>
      </c>
      <c r="H178" s="5" t="inlineStr">
        <is>
          <t>шт</t>
        </is>
      </c>
      <c r="I178" s="30" t="n">
        <v>1</v>
      </c>
      <c r="J178" s="31" t="n">
        <v>3000000</v>
      </c>
      <c r="K178" s="32" t="n">
        <v>3000000</v>
      </c>
      <c r="L178" s="6" t="inlineStr">
        <is>
          <t>в обшивке w3. Цена: таблица сантехники</t>
        </is>
      </c>
    </row>
    <row r="179" ht="18" customHeight="1">
      <c r="A179" s="10" t="inlineStr">
        <is>
          <t>крыша</t>
        </is>
      </c>
      <c r="B179" s="10" t="inlineStr">
        <is>
          <t>Терраса</t>
        </is>
      </c>
      <c r="C179" s="10" t="n">
        <v>385</v>
      </c>
      <c r="D179" s="11" t="inlineStr">
        <is>
          <t>L4-SAN-006</t>
        </is>
      </c>
      <c r="E179" s="11" t="inlineStr">
        <is>
          <t>Сантехника</t>
        </is>
      </c>
      <c r="F179" s="11" t="inlineStr">
        <is>
          <t>Раковина (мойка бара)</t>
        </is>
      </c>
      <c r="G179" s="11" t="inlineStr">
        <is>
          <t>из исходной сметы</t>
        </is>
      </c>
      <c r="H179" s="10" t="inlineStr">
        <is>
          <t>шт</t>
        </is>
      </c>
      <c r="I179" s="33" t="n">
        <v>1</v>
      </c>
      <c r="J179" s="34" t="n">
        <v>900000</v>
      </c>
      <c r="K179" s="35" t="n">
        <v>900000</v>
      </c>
      <c r="L179" s="11" t="inlineStr">
        <is>
          <t>бар М1, 500×430. ⚠ Цена за «Кухонную раковину 450×450 под столешницу» — у нас 500×430, подтвердить модель</t>
        </is>
      </c>
    </row>
    <row r="180" ht="18" customHeight="1">
      <c r="A180" s="5" t="inlineStr">
        <is>
          <t>крыша</t>
        </is>
      </c>
      <c r="B180" s="5" t="inlineStr">
        <is>
          <t>Терраса</t>
        </is>
      </c>
      <c r="C180" s="5" t="n">
        <v>389</v>
      </c>
      <c r="D180" s="6" t="inlineStr">
        <is>
          <t>L4-ELE-001</t>
        </is>
      </c>
      <c r="E180" s="6" t="inlineStr">
        <is>
          <t>Электрика</t>
        </is>
      </c>
      <c r="F180" s="6" t="inlineStr">
        <is>
          <t>Розетка одноместная</t>
        </is>
      </c>
      <c r="G180" s="6" t="inlineStr">
        <is>
          <t>из исходной сметы</t>
        </is>
      </c>
      <c r="H180" s="5" t="inlineStr">
        <is>
          <t>шт</t>
        </is>
      </c>
      <c r="I180" s="30" t="n">
        <v>13</v>
      </c>
      <c r="J180" s="31" t="n">
        <v>20400</v>
      </c>
      <c r="K180" s="32" t="n">
        <v>265200</v>
      </c>
      <c r="L180" s="6" t="inlineStr">
        <is>
          <t>двойные УГО = 2 шт (прим. 18 л.9). Цена: DL 1209-1 п.1 / 1409-1 п.1</t>
        </is>
      </c>
    </row>
    <row r="181" ht="18" customHeight="1">
      <c r="A181" s="10" t="inlineStr">
        <is>
          <t>крыша</t>
        </is>
      </c>
      <c r="B181" s="10" t="inlineStr">
        <is>
          <t>Терраса</t>
        </is>
      </c>
      <c r="C181" s="10" t="n">
        <v>390</v>
      </c>
      <c r="D181" s="11" t="inlineStr">
        <is>
          <t>L4-ELE-002</t>
        </is>
      </c>
      <c r="E181" s="11" t="inlineStr">
        <is>
          <t>Электрика</t>
        </is>
      </c>
      <c r="F181" s="11" t="inlineStr">
        <is>
          <t>Розетка влагозащищённая</t>
        </is>
      </c>
      <c r="G181" s="11" t="inlineStr">
        <is>
          <t>из исходной сметы</t>
        </is>
      </c>
      <c r="H181" s="10" t="inlineStr">
        <is>
          <t>шт</t>
        </is>
      </c>
      <c r="I181" s="33" t="n">
        <v>4</v>
      </c>
      <c r="J181" s="34" t="n">
        <v>27200</v>
      </c>
      <c r="K181" s="35" t="n">
        <v>108800</v>
      </c>
      <c r="L181" s="11" t="inlineStr">
        <is>
          <t>прим. 8 л.9. Цена: DL 1209-1 п.2 «розетка одинарная с крышкой»</t>
        </is>
      </c>
    </row>
    <row r="182" ht="18" customHeight="1">
      <c r="A182" s="5" t="inlineStr">
        <is>
          <t>крыша</t>
        </is>
      </c>
      <c r="B182" s="5" t="inlineStr">
        <is>
          <t>Терраса</t>
        </is>
      </c>
      <c r="C182" s="5" t="n">
        <v>391</v>
      </c>
      <c r="D182" s="6" t="inlineStr">
        <is>
          <t>L4-ELE-003</t>
        </is>
      </c>
      <c r="E182" s="6" t="inlineStr">
        <is>
          <t>Электрика</t>
        </is>
      </c>
      <c r="F182" s="6" t="inlineStr">
        <is>
          <t>Выключатель одноклавишный</t>
        </is>
      </c>
      <c r="G182" s="6" t="inlineStr">
        <is>
          <t>из исходной сметы</t>
        </is>
      </c>
      <c r="H182" s="5" t="inlineStr">
        <is>
          <t>шт</t>
        </is>
      </c>
      <c r="I182" s="30" t="n">
        <v>2</v>
      </c>
      <c r="J182" s="31" t="n">
        <v>20400</v>
      </c>
      <c r="K182" s="32" t="n">
        <v>40800</v>
      </c>
      <c r="L182" s="6" t="inlineStr">
        <is>
          <t>Цена: DL 1209-1 п.6</t>
        </is>
      </c>
    </row>
    <row r="183" ht="18" customHeight="1">
      <c r="A183" s="10" t="inlineStr">
        <is>
          <t>крыша</t>
        </is>
      </c>
      <c r="B183" s="10" t="inlineStr">
        <is>
          <t>Терраса</t>
        </is>
      </c>
      <c r="C183" s="10" t="n">
        <v>392</v>
      </c>
      <c r="D183" s="11" t="inlineStr">
        <is>
          <t>L4-ELE-004</t>
        </is>
      </c>
      <c r="E183" s="11" t="inlineStr">
        <is>
          <t>Электрика</t>
        </is>
      </c>
      <c r="F183" s="11" t="inlineStr">
        <is>
          <t>Выключатель двухклавишный</t>
        </is>
      </c>
      <c r="G183" s="11" t="inlineStr">
        <is>
          <t>из исходной сметы</t>
        </is>
      </c>
      <c r="H183" s="10" t="inlineStr">
        <is>
          <t>шт</t>
        </is>
      </c>
      <c r="I183" s="33" t="n">
        <v>4</v>
      </c>
      <c r="J183" s="34" t="n">
        <v>23100</v>
      </c>
      <c r="K183" s="35" t="n">
        <v>92400</v>
      </c>
      <c r="L183" s="11" t="inlineStr">
        <is>
          <t>Цена: DL 1209-1 п.7</t>
        </is>
      </c>
    </row>
    <row r="184" ht="18" customHeight="1">
      <c r="A184" s="5" t="inlineStr">
        <is>
          <t>крыша</t>
        </is>
      </c>
      <c r="B184" s="5" t="inlineStr">
        <is>
          <t>Терраса</t>
        </is>
      </c>
      <c r="C184" s="5" t="n">
        <v>398</v>
      </c>
      <c r="D184" s="6" t="inlineStr">
        <is>
          <t>L4-LGT-005</t>
        </is>
      </c>
      <c r="E184" s="6" t="inlineStr">
        <is>
          <t>Освещение и LED</t>
        </is>
      </c>
      <c r="F184" s="6" t="inlineStr">
        <is>
          <t>Спот трековый</t>
        </is>
      </c>
      <c r="G184" s="6" t="inlineStr">
        <is>
          <t>из исходной сметы</t>
        </is>
      </c>
      <c r="H184" s="5" t="inlineStr">
        <is>
          <t>шт</t>
        </is>
      </c>
      <c r="I184" s="30" t="n">
        <v>28</v>
      </c>
      <c r="J184" s="31" t="n">
        <v>177200</v>
      </c>
      <c r="K184" s="32" t="n">
        <v>4961600</v>
      </c>
      <c r="L184" s="6" t="inlineStr">
        <is>
          <t>по плану: 5 + 3 + 5 + 5×3 = 28. Цена: DL «спот поворотный 20 Вт» — магнитный, встанет только на магнитный трек DL</t>
        </is>
      </c>
    </row>
    <row r="185" ht="18" customHeight="1">
      <c r="A185" s="10" t="inlineStr">
        <is>
          <t>крыша</t>
        </is>
      </c>
      <c r="B185" s="10" t="inlineStr">
        <is>
          <t>Терраса</t>
        </is>
      </c>
      <c r="C185" s="10" t="n">
        <v>402</v>
      </c>
      <c r="D185" s="11" t="inlineStr">
        <is>
          <t>L4-FIN-001</t>
        </is>
      </c>
      <c r="E185" s="11" t="inlineStr">
        <is>
          <t>Отделка (стены, потолок, полы)</t>
        </is>
      </c>
      <c r="F185" s="11" t="inlineStr">
        <is>
          <t>Покраска белая RAL 9010</t>
        </is>
      </c>
      <c r="G185" s="11" t="inlineStr">
        <is>
          <t>из исходной сметы</t>
        </is>
      </c>
      <c r="H185" s="10" t="inlineStr">
        <is>
          <t>м²</t>
        </is>
      </c>
      <c r="I185" s="33" t="n">
        <v>112.8</v>
      </c>
      <c r="J185" s="34" t="n">
        <v>29400</v>
      </c>
      <c r="K185" s="35" t="n">
        <v>3316320</v>
      </c>
      <c r="L185" s="11" t="inlineStr">
        <is>
          <t>зависит от решения по сэндвич-панелям (вопрос №3)</t>
        </is>
      </c>
    </row>
    <row r="186" ht="18" customHeight="1">
      <c r="A186" s="5" t="inlineStr">
        <is>
          <t>крыша</t>
        </is>
      </c>
      <c r="B186" s="5" t="inlineStr">
        <is>
          <t>Терраса</t>
        </is>
      </c>
      <c r="C186" s="5" t="n">
        <v>403</v>
      </c>
      <c r="D186" s="6" t="inlineStr">
        <is>
          <t>L4-FIN-002</t>
        </is>
      </c>
      <c r="E186" s="6" t="inlineStr">
        <is>
          <t>Отделка (стены, потолок, полы)</t>
        </is>
      </c>
      <c r="F186" s="6" t="inlineStr">
        <is>
          <t>Панель МДФ под дерево</t>
        </is>
      </c>
      <c r="G186" s="6" t="inlineStr">
        <is>
          <t>из исходной сметы</t>
        </is>
      </c>
      <c r="H186" s="5" t="inlineStr">
        <is>
          <t>м²</t>
        </is>
      </c>
      <c r="I186" s="30" t="n">
        <v>9</v>
      </c>
      <c r="J186" s="31" t="n">
        <v>350000</v>
      </c>
      <c r="K186" s="32" t="n">
        <v>3150000</v>
      </c>
      <c r="L186" s="6" t="inlineStr">
        <is>
          <t>стена у зоны лестницы (развертка 2.1)</t>
        </is>
      </c>
    </row>
    <row r="187" ht="18" customHeight="1">
      <c r="A187" s="10" t="inlineStr">
        <is>
          <t>крыша</t>
        </is>
      </c>
      <c r="B187" s="10" t="inlineStr">
        <is>
          <t>Терраса</t>
        </is>
      </c>
      <c r="C187" s="10" t="n">
        <v>405</v>
      </c>
      <c r="D187" s="11" t="inlineStr">
        <is>
          <t>L4-FIN-004</t>
        </is>
      </c>
      <c r="E187" s="11" t="inlineStr">
        <is>
          <t>Отделка (стены, потолок, полы)</t>
        </is>
      </c>
      <c r="F187" s="11" t="inlineStr">
        <is>
          <t>Керамогранит 1200×600</t>
        </is>
      </c>
      <c r="G187" s="11" t="inlineStr">
        <is>
          <t>из исходной сметы</t>
        </is>
      </c>
      <c r="H187" s="10" t="inlineStr">
        <is>
          <t>м²</t>
        </is>
      </c>
      <c r="I187" s="33" t="n">
        <v>22.6</v>
      </c>
      <c r="J187" s="34" t="n">
        <v>395000</v>
      </c>
      <c r="K187" s="35" t="n">
        <v>8927000</v>
      </c>
      <c r="L187" s="11" t="inlineStr">
        <is>
          <t>санузел; ≈ периметр 8,2 м × 3 м − дверь</t>
        </is>
      </c>
    </row>
    <row r="188" ht="18" customHeight="1">
      <c r="A188" s="5" t="inlineStr">
        <is>
          <t>крыша</t>
        </is>
      </c>
      <c r="B188" s="5" t="inlineStr">
        <is>
          <t>Терраса</t>
        </is>
      </c>
      <c r="C188" s="5" t="n">
        <v>406</v>
      </c>
      <c r="D188" s="6" t="inlineStr">
        <is>
          <t>L4-FIN-005</t>
        </is>
      </c>
      <c r="E188" s="6" t="inlineStr">
        <is>
          <t>Отделка (стены, потолок, полы)</t>
        </is>
      </c>
      <c r="F188" s="6" t="inlineStr">
        <is>
          <t>Плитка 260×80</t>
        </is>
      </c>
      <c r="G188" s="6" t="inlineStr">
        <is>
          <t>из исходной сметы</t>
        </is>
      </c>
      <c r="H188" s="5" t="inlineStr">
        <is>
          <t>м²</t>
        </is>
      </c>
      <c r="I188" s="30" t="n">
        <v>13.9</v>
      </c>
      <c r="J188" s="31" t="n">
        <v>390000</v>
      </c>
      <c r="K188" s="32" t="n">
        <v>5421000</v>
      </c>
      <c r="L188" s="6" t="inlineStr">
        <is>
          <t>фартук барбекю/казана (развертки 2.1, 5.1)</t>
        </is>
      </c>
    </row>
    <row r="189" ht="18" customHeight="1">
      <c r="A189" s="10" t="inlineStr">
        <is>
          <t>крыша</t>
        </is>
      </c>
      <c r="B189" s="10" t="inlineStr">
        <is>
          <t>Терраса</t>
        </is>
      </c>
      <c r="C189" s="10" t="n">
        <v>407</v>
      </c>
      <c r="D189" s="11" t="inlineStr">
        <is>
          <t>L4-FIN-006</t>
        </is>
      </c>
      <c r="E189" s="11" t="inlineStr">
        <is>
          <t>Отделка (стены, потолок, полы)</t>
        </is>
      </c>
      <c r="F189" s="11" t="inlineStr">
        <is>
          <t>Металлическая панель</t>
        </is>
      </c>
      <c r="G189" s="11" t="inlineStr">
        <is>
          <t>из исходной сметы</t>
        </is>
      </c>
      <c r="H189" s="10" t="inlineStr">
        <is>
          <t>м²</t>
        </is>
      </c>
      <c r="I189" s="33" t="n">
        <v>7.7</v>
      </c>
      <c r="J189" s="34" t="n">
        <v>395000</v>
      </c>
      <c r="K189" s="35" t="n">
        <v>3041500</v>
      </c>
      <c r="L189" s="11" t="inlineStr">
        <is>
          <t>зона лестницы</t>
        </is>
      </c>
    </row>
    <row r="190" ht="18" customHeight="1">
      <c r="A190" s="5" t="inlineStr">
        <is>
          <t>крыша</t>
        </is>
      </c>
      <c r="B190" s="5" t="inlineStr">
        <is>
          <t>Терраса</t>
        </is>
      </c>
      <c r="C190" s="5" t="n">
        <v>412</v>
      </c>
      <c r="D190" s="6" t="inlineStr">
        <is>
          <t>L4-FIN-011</t>
        </is>
      </c>
      <c r="E190" s="6" t="inlineStr">
        <is>
          <t>Отделка (стены, потолок, полы)</t>
        </is>
      </c>
      <c r="F190" s="6" t="inlineStr">
        <is>
          <t>Керамогранит 1200×600</t>
        </is>
      </c>
      <c r="G190" s="6" t="inlineStr">
        <is>
          <t>из исходной сметы</t>
        </is>
      </c>
      <c r="H190" s="5" t="inlineStr">
        <is>
          <t>м²</t>
        </is>
      </c>
      <c r="I190" s="30" t="n">
        <v>3.9</v>
      </c>
      <c r="J190" s="31" t="n">
        <v>395000</v>
      </c>
      <c r="K190" s="32" t="n">
        <v>1540500</v>
      </c>
      <c r="L190" s="6" t="inlineStr">
        <is>
          <t>санузел 4,14 минус стены</t>
        </is>
      </c>
    </row>
    <row r="192">
      <c r="A192" s="15" t="inlineStr">
        <is>
          <t>ИТОГО этажи</t>
        </is>
      </c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16" t="n"/>
      <c r="K192" s="19">
        <f>SUM(K6:K190)</f>
        <v/>
      </c>
      <c r="L192" s="37" t="n"/>
    </row>
  </sheetData>
  <autoFilter ref="A5:L190"/>
  <mergeCells count="4">
    <mergeCell ref="A1:J1"/>
    <mergeCell ref="A192:J192"/>
    <mergeCell ref="A3:J3"/>
    <mergeCell ref="A2:J2"/>
  </mergeCells>
  <pageMargins left="0.4" right="0.4" top="0.5" bottom="0.5" header="0.5" footer="0.5"/>
  <pageSetup orientation="landscape" fitToHeight="0" fitToWidth="1"/>
  <headerFooter>
    <oddHeader/>
    <oddFooter>&amp;RСрез 04.10.2026  |  стр.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10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4" customHeight="1">
      <c r="A1" s="27" t="inlineStr">
        <is>
          <t>Точные цены</t>
        </is>
      </c>
    </row>
    <row r="2" ht="18" customHeight="1">
      <c r="A2" s="28" t="inlineStr">
        <is>
          <t>−1 этаж · Фитнес · 139,58 м²</t>
        </is>
      </c>
    </row>
    <row r="3" ht="32" customHeight="1">
      <c r="A3" s="29" t="inlineStr">
        <is>
          <t>Только точные цены (зелёные на сайте). Примерные позиции в этот лист не входят. Срез сметы 04.10.2026.</t>
        </is>
      </c>
    </row>
    <row r="4" ht="8" customHeight="1"/>
    <row r="5" ht="22" customHeight="1">
      <c r="A5" s="4" t="inlineStr">
        <is>
          <t>№</t>
        </is>
      </c>
      <c r="B5" s="4" t="inlineStr">
        <is>
          <t>Код</t>
        </is>
      </c>
      <c r="C5" s="4" t="inlineStr">
        <is>
          <t>Раздел</t>
        </is>
      </c>
      <c r="D5" s="4" t="inlineStr">
        <is>
          <t>Наименование</t>
        </is>
      </c>
      <c r="E5" s="4" t="inlineStr">
        <is>
          <t>Спецификация</t>
        </is>
      </c>
      <c r="F5" s="4" t="inlineStr">
        <is>
          <t>Ед.</t>
        </is>
      </c>
      <c r="G5" s="4" t="inlineStr">
        <is>
          <t>Кол-во</t>
        </is>
      </c>
      <c r="H5" s="4" t="inlineStr">
        <is>
          <t>Цена, сум</t>
        </is>
      </c>
      <c r="I5" s="4" t="inlineStr">
        <is>
          <t>Сумма, сум</t>
        </is>
      </c>
      <c r="J5" s="4" t="inlineStr">
        <is>
          <t>Примечание</t>
        </is>
      </c>
    </row>
    <row r="6" ht="20" customHeight="1">
      <c r="A6" s="38" t="inlineStr">
        <is>
          <t>Перегородки, двери, остекление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</row>
    <row r="7" ht="18" customHeight="1">
      <c r="A7" s="5" t="n">
        <v>1</v>
      </c>
      <c r="B7" s="6" t="inlineStr">
        <is>
          <t>B1-PER-001</t>
        </is>
      </c>
      <c r="C7" s="6" t="inlineStr">
        <is>
          <t>Перегородки, двери, остекление</t>
        </is>
      </c>
      <c r="D7" s="6" t="inlineStr">
        <is>
          <t>Гипсокартонная перегородка (ГКЛ) — 50 мм</t>
        </is>
      </c>
      <c r="E7" s="6" t="inlineStr">
        <is>
          <t>из исходной сметы</t>
        </is>
      </c>
      <c r="F7" s="5" t="inlineStr">
        <is>
          <t>м²</t>
        </is>
      </c>
      <c r="G7" s="30" t="n">
        <v>10</v>
      </c>
      <c r="H7" s="31" t="n">
        <v>80000</v>
      </c>
      <c r="I7" s="32" t="n">
        <v>800000</v>
      </c>
      <c r="J7" s="6" t="inlineStr">
        <is>
          <t>смонтировано</t>
        </is>
      </c>
    </row>
    <row r="8" ht="18" customHeight="1">
      <c r="A8" s="10" t="n">
        <v>2</v>
      </c>
      <c r="B8" s="11" t="inlineStr">
        <is>
          <t>B1-PER-002</t>
        </is>
      </c>
      <c r="C8" s="11" t="inlineStr">
        <is>
          <t>Перегородки, двери, остекление</t>
        </is>
      </c>
      <c r="D8" s="11" t="inlineStr">
        <is>
          <t>Гипсокартонная перегородка (ГКЛ) — 100 мм</t>
        </is>
      </c>
      <c r="E8" s="11" t="inlineStr">
        <is>
          <t>из исходной сметы</t>
        </is>
      </c>
      <c r="F8" s="10" t="inlineStr">
        <is>
          <t>м²</t>
        </is>
      </c>
      <c r="G8" s="33" t="n">
        <v>78</v>
      </c>
      <c r="H8" s="34" t="n">
        <v>80000</v>
      </c>
      <c r="I8" s="35" t="n">
        <v>6240000</v>
      </c>
      <c r="J8" s="11" t="inlineStr">
        <is>
          <t>смонтировано</t>
        </is>
      </c>
    </row>
    <row r="9" ht="32" customHeight="1">
      <c r="A9" s="5" t="n">
        <v>5</v>
      </c>
      <c r="B9" s="6" t="inlineStr">
        <is>
          <t>B1-PER-005</t>
        </is>
      </c>
      <c r="C9" s="6" t="inlineStr">
        <is>
          <t>Перегородки, двери, остекление</t>
        </is>
      </c>
      <c r="D9" s="6" t="inlineStr">
        <is>
          <t>Перегородки санузлов/душевых, 18 мм</t>
        </is>
      </c>
      <c r="E9" s="6" t="inlineStr">
        <is>
          <t>из исходной сметы</t>
        </is>
      </c>
      <c r="F9" s="5" t="inlineStr">
        <is>
          <t>м²</t>
        </is>
      </c>
      <c r="G9" s="30" t="n">
        <v>9</v>
      </c>
      <c r="H9" s="31" t="n">
        <v>80000</v>
      </c>
      <c r="I9" s="32" t="n">
        <v>720000</v>
      </c>
      <c r="J9" s="6" t="inlineStr">
        <is>
          <t>В РП ЛДСП. В мокрой зоне применять HPL / компакт-ламинат</t>
        </is>
      </c>
    </row>
    <row r="10" ht="32" customHeight="1">
      <c r="A10" s="10" t="n">
        <v>6</v>
      </c>
      <c r="B10" s="11" t="inlineStr">
        <is>
          <t>B1-PER-006</t>
        </is>
      </c>
      <c r="C10" s="11" t="inlineStr">
        <is>
          <t>Перегородки, двери, остекление</t>
        </is>
      </c>
      <c r="D10" s="11" t="inlineStr">
        <is>
          <t>Дверной блок 2150×1000, скрытый монтаж, алюм. короб</t>
        </is>
      </c>
      <c r="E10" s="11" t="inlineStr">
        <is>
          <t>цена $ × 11700</t>
        </is>
      </c>
      <c r="F10" s="10" t="inlineStr">
        <is>
          <t>шт</t>
        </is>
      </c>
      <c r="G10" s="33" t="n">
        <v>1</v>
      </c>
      <c r="H10" s="34" t="n">
        <v>7605000</v>
      </c>
      <c r="I10" s="35" t="n">
        <v>7605000</v>
      </c>
      <c r="J10" s="11" t="inlineStr">
        <is>
          <t>вход в ресепшн</t>
        </is>
      </c>
    </row>
    <row r="11" ht="18" customHeight="1">
      <c r="A11" s="5" t="n">
        <v>7</v>
      </c>
      <c r="B11" s="6" t="inlineStr">
        <is>
          <t>B1-PER-007</t>
        </is>
      </c>
      <c r="C11" s="6" t="inlineStr">
        <is>
          <t>Перегородки, двери, остекление</t>
        </is>
      </c>
      <c r="D11" s="6" t="inlineStr">
        <is>
          <t>Дверной блок 2150×900, скрытый монтаж</t>
        </is>
      </c>
      <c r="E11" s="6" t="inlineStr">
        <is>
          <t>цена $ × 11700</t>
        </is>
      </c>
      <c r="F11" s="5" t="inlineStr">
        <is>
          <t>шт</t>
        </is>
      </c>
      <c r="G11" s="30" t="n">
        <v>1</v>
      </c>
      <c r="H11" s="31" t="n">
        <v>7605000</v>
      </c>
      <c r="I11" s="32" t="n">
        <v>7605000</v>
      </c>
      <c r="J11" s="6" t="n"/>
    </row>
    <row r="12" ht="18" customHeight="1">
      <c r="A12" s="10" t="n">
        <v>8</v>
      </c>
      <c r="B12" s="11" t="inlineStr">
        <is>
          <t>B1-PER-008</t>
        </is>
      </c>
      <c r="C12" s="11" t="inlineStr">
        <is>
          <t>Перегородки, двери, остекление</t>
        </is>
      </c>
      <c r="D12" s="11" t="inlineStr">
        <is>
          <t>Дверной блок 2150×800, скрытый монтаж</t>
        </is>
      </c>
      <c r="E12" s="11" t="inlineStr">
        <is>
          <t>цена $ × 11700</t>
        </is>
      </c>
      <c r="F12" s="10" t="inlineStr">
        <is>
          <t>шт</t>
        </is>
      </c>
      <c r="G12" s="33" t="n">
        <v>4</v>
      </c>
      <c r="H12" s="34" t="n">
        <v>7605000</v>
      </c>
      <c r="I12" s="35" t="n">
        <v>30420000</v>
      </c>
      <c r="J12" s="11" t="n"/>
    </row>
    <row r="13" ht="32" customHeight="1">
      <c r="A13" s="5" t="n">
        <v>9</v>
      </c>
      <c r="B13" s="6" t="inlineStr">
        <is>
          <t>B1-PER-009</t>
        </is>
      </c>
      <c r="C13" s="6" t="inlineStr">
        <is>
          <t>Перегородки, двери, остекление</t>
        </is>
      </c>
      <c r="D13" s="6" t="inlineStr">
        <is>
          <t>Дверной блок 2200×800, ВЛАГОСТОЙКОЕ ИСПОЛНЕНИЕ</t>
        </is>
      </c>
      <c r="E13" s="6" t="inlineStr">
        <is>
          <t>цена $ × 11700</t>
        </is>
      </c>
      <c r="F13" s="5" t="inlineStr">
        <is>
          <t>шт</t>
        </is>
      </c>
      <c r="G13" s="30" t="n">
        <v>2</v>
      </c>
      <c r="H13" s="31" t="n">
        <v>7020000</v>
      </c>
      <c r="I13" s="32" t="n">
        <v>14040000</v>
      </c>
      <c r="J13" s="6" t="inlineStr">
        <is>
          <t>душевые/санузлы. Требование влагостойкости внесено по решению заказчика</t>
        </is>
      </c>
    </row>
    <row r="14" ht="18" customHeight="1">
      <c r="A14" s="40" t="inlineStr">
        <is>
          <t>Итого · Перегородки, двери, остекление</t>
        </is>
      </c>
      <c r="B14" s="41" t="n"/>
      <c r="C14" s="41" t="n"/>
      <c r="D14" s="41" t="n"/>
      <c r="E14" s="41" t="n"/>
      <c r="F14" s="41" t="n"/>
      <c r="G14" s="41" t="n"/>
      <c r="H14" s="41" t="n"/>
      <c r="I14" s="42">
        <f>SUM(I7:I13)</f>
        <v/>
      </c>
      <c r="J14" s="41" t="n"/>
    </row>
    <row r="15" ht="20" customHeight="1">
      <c r="A15" s="38" t="inlineStr">
        <is>
          <t>Сантехника</t>
        </is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</row>
    <row r="16" ht="18" customHeight="1">
      <c r="A16" s="10" t="n">
        <v>13</v>
      </c>
      <c r="B16" s="11" t="inlineStr">
        <is>
          <t>B1-SAN-001</t>
        </is>
      </c>
      <c r="C16" s="11" t="inlineStr">
        <is>
          <t>Сантехника</t>
        </is>
      </c>
      <c r="D16" s="11" t="inlineStr">
        <is>
          <t>Душевая кабина</t>
        </is>
      </c>
      <c r="E16" s="11" t="inlineStr">
        <is>
          <t>из исходной сметы</t>
        </is>
      </c>
      <c r="F16" s="10" t="inlineStr">
        <is>
          <t>шт</t>
        </is>
      </c>
      <c r="G16" s="33" t="n">
        <v>2</v>
      </c>
      <c r="H16" s="34" t="n">
        <v>8500000</v>
      </c>
      <c r="I16" s="35" t="n">
        <v>17000000</v>
      </c>
      <c r="J16" s="11" t="inlineStr">
        <is>
          <t>пом. 5, 6</t>
        </is>
      </c>
    </row>
    <row r="17" ht="18" customHeight="1">
      <c r="A17" s="5" t="n">
        <v>14</v>
      </c>
      <c r="B17" s="6" t="inlineStr">
        <is>
          <t>B1-SAN-002</t>
        </is>
      </c>
      <c r="C17" s="6" t="inlineStr">
        <is>
          <t>Сантехника</t>
        </is>
      </c>
      <c r="D17" s="6" t="inlineStr">
        <is>
          <t>Раковина встраиваемая</t>
        </is>
      </c>
      <c r="E17" s="6" t="inlineStr">
        <is>
          <t>из исходной сметы</t>
        </is>
      </c>
      <c r="F17" s="5" t="inlineStr">
        <is>
          <t>шт</t>
        </is>
      </c>
      <c r="G17" s="30" t="n">
        <v>3</v>
      </c>
      <c r="H17" s="31" t="n">
        <v>1500000</v>
      </c>
      <c r="I17" s="32" t="n">
        <v>4500000</v>
      </c>
      <c r="J17" s="6" t="inlineStr">
        <is>
          <t>пом. 7, 8 + раздевалка</t>
        </is>
      </c>
    </row>
    <row r="18" ht="18" customHeight="1">
      <c r="A18" s="10" t="n">
        <v>15</v>
      </c>
      <c r="B18" s="11" t="inlineStr">
        <is>
          <t>B1-SAN-003</t>
        </is>
      </c>
      <c r="C18" s="11" t="inlineStr">
        <is>
          <t>Сантехника</t>
        </is>
      </c>
      <c r="D18" s="11" t="inlineStr">
        <is>
          <t>Унитаз подвесной</t>
        </is>
      </c>
      <c r="E18" s="11" t="inlineStr">
        <is>
          <t>из исходной сметы</t>
        </is>
      </c>
      <c r="F18" s="10" t="inlineStr">
        <is>
          <t>шт</t>
        </is>
      </c>
      <c r="G18" s="33" t="n">
        <v>2</v>
      </c>
      <c r="H18" s="34" t="n">
        <v>3000000</v>
      </c>
      <c r="I18" s="35" t="n">
        <v>6000000</v>
      </c>
      <c r="J18" s="11" t="inlineStr">
        <is>
          <t>пом. 7, 8</t>
        </is>
      </c>
    </row>
    <row r="19" ht="18" customHeight="1">
      <c r="A19" s="5" t="n">
        <v>16</v>
      </c>
      <c r="B19" s="6" t="inlineStr">
        <is>
          <t>B1-SAN-004</t>
        </is>
      </c>
      <c r="C19" s="6" t="inlineStr">
        <is>
          <t>Сантехника</t>
        </is>
      </c>
      <c r="D19" s="6" t="inlineStr">
        <is>
          <t>Держатель бумаги</t>
        </is>
      </c>
      <c r="E19" s="6" t="inlineStr">
        <is>
          <t>из исходной сметы</t>
        </is>
      </c>
      <c r="F19" s="5" t="inlineStr">
        <is>
          <t>шт</t>
        </is>
      </c>
      <c r="G19" s="30" t="n">
        <v>2</v>
      </c>
      <c r="H19" s="31" t="n">
        <v>250000</v>
      </c>
      <c r="I19" s="32" t="n">
        <v>500000</v>
      </c>
      <c r="J19" s="6" t="n"/>
    </row>
    <row r="20" ht="18" customHeight="1">
      <c r="A20" s="10" t="n">
        <v>17</v>
      </c>
      <c r="B20" s="11" t="inlineStr">
        <is>
          <t>B1-SAN-005</t>
        </is>
      </c>
      <c r="C20" s="11" t="inlineStr">
        <is>
          <t>Сантехника</t>
        </is>
      </c>
      <c r="D20" s="11" t="inlineStr">
        <is>
          <t>Гигиенический душ ХВ</t>
        </is>
      </c>
      <c r="E20" s="11" t="inlineStr">
        <is>
          <t>из исходной сметы</t>
        </is>
      </c>
      <c r="F20" s="10" t="inlineStr">
        <is>
          <t>шт</t>
        </is>
      </c>
      <c r="G20" s="33" t="n">
        <v>2</v>
      </c>
      <c r="H20" s="34" t="n">
        <v>700000</v>
      </c>
      <c r="I20" s="35" t="n">
        <v>1400000</v>
      </c>
      <c r="J20" s="11" t="n"/>
    </row>
    <row r="21" ht="18" customHeight="1">
      <c r="A21" s="5" t="n">
        <v>18</v>
      </c>
      <c r="B21" s="6" t="inlineStr">
        <is>
          <t>B1-SAN-006</t>
        </is>
      </c>
      <c r="C21" s="6" t="inlineStr">
        <is>
          <t>Сантехника</t>
        </is>
      </c>
      <c r="D21" s="6" t="inlineStr">
        <is>
          <t>Инсталляция для унитаза</t>
        </is>
      </c>
      <c r="E21" s="6" t="inlineStr">
        <is>
          <t>из исходной сметы</t>
        </is>
      </c>
      <c r="F21" s="5" t="inlineStr">
        <is>
          <t>шт</t>
        </is>
      </c>
      <c r="G21" s="30" t="n">
        <v>2</v>
      </c>
      <c r="H21" s="31" t="n">
        <v>3250000</v>
      </c>
      <c r="I21" s="32" t="n">
        <v>6500000</v>
      </c>
      <c r="J21" s="6" t="inlineStr">
        <is>
          <t>монтаж в металлоконструкцию w-3</t>
        </is>
      </c>
    </row>
    <row r="22" ht="18" customHeight="1">
      <c r="A22" s="10" t="n">
        <v>19</v>
      </c>
      <c r="B22" s="11" t="inlineStr">
        <is>
          <t>B1-SAN-007</t>
        </is>
      </c>
      <c r="C22" s="11" t="inlineStr">
        <is>
          <t>Сантехника</t>
        </is>
      </c>
      <c r="D22" s="11" t="inlineStr">
        <is>
          <t>Ершик туалетный</t>
        </is>
      </c>
      <c r="E22" s="11" t="inlineStr">
        <is>
          <t>из исходной сметы</t>
        </is>
      </c>
      <c r="F22" s="10" t="inlineStr">
        <is>
          <t>шт</t>
        </is>
      </c>
      <c r="G22" s="33" t="n">
        <v>2</v>
      </c>
      <c r="H22" s="34" t="n">
        <v>300000</v>
      </c>
      <c r="I22" s="35" t="n">
        <v>600000</v>
      </c>
      <c r="J22" s="11" t="n"/>
    </row>
    <row r="23" ht="18" customHeight="1">
      <c r="A23" s="5" t="n">
        <v>20</v>
      </c>
      <c r="B23" s="6" t="inlineStr">
        <is>
          <t>B1-SAN-008</t>
        </is>
      </c>
      <c r="C23" s="6" t="inlineStr">
        <is>
          <t>Сантехника</t>
        </is>
      </c>
      <c r="D23" s="6" t="inlineStr">
        <is>
          <t>Ведро мусорное с педалью 20 л, нерж., хром</t>
        </is>
      </c>
      <c r="E23" s="6" t="inlineStr">
        <is>
          <t>из исходной сметы</t>
        </is>
      </c>
      <c r="F23" s="5" t="inlineStr">
        <is>
          <t>шт</t>
        </is>
      </c>
      <c r="G23" s="30" t="n">
        <v>2</v>
      </c>
      <c r="H23" s="31" t="n">
        <v>750000</v>
      </c>
      <c r="I23" s="32" t="n">
        <v>1500000</v>
      </c>
      <c r="J23" s="6" t="n"/>
    </row>
    <row r="24" ht="18" customHeight="1">
      <c r="A24" s="10" t="n">
        <v>21</v>
      </c>
      <c r="B24" s="11" t="inlineStr">
        <is>
          <t>B1-SAN-009</t>
        </is>
      </c>
      <c r="C24" s="11" t="inlineStr">
        <is>
          <t>Сантехника</t>
        </is>
      </c>
      <c r="D24" s="11" t="inlineStr">
        <is>
          <t>Душевая система наружного монтажа</t>
        </is>
      </c>
      <c r="E24" s="11" t="inlineStr">
        <is>
          <t>из исходной сметы</t>
        </is>
      </c>
      <c r="F24" s="10" t="inlineStr">
        <is>
          <t>шт</t>
        </is>
      </c>
      <c r="G24" s="33" t="n">
        <v>2</v>
      </c>
      <c r="H24" s="34" t="n">
        <v>2200000</v>
      </c>
      <c r="I24" s="35" t="n">
        <v>4400000</v>
      </c>
      <c r="J24" s="11" t="inlineStr">
        <is>
          <t>пом. 5, 6</t>
        </is>
      </c>
    </row>
    <row r="25" ht="18" customHeight="1">
      <c r="A25" s="5" t="n">
        <v>22</v>
      </c>
      <c r="B25" s="6" t="inlineStr">
        <is>
          <t>B1-SAN-010</t>
        </is>
      </c>
      <c r="C25" s="6" t="inlineStr">
        <is>
          <t>Сантехника</t>
        </is>
      </c>
      <c r="D25" s="6" t="inlineStr">
        <is>
          <t>Зеркало сенсорное с подсветкой 1300×1200</t>
        </is>
      </c>
      <c r="E25" s="6" t="inlineStr">
        <is>
          <t>из исходной сметы</t>
        </is>
      </c>
      <c r="F25" s="5" t="inlineStr">
        <is>
          <t>шт</t>
        </is>
      </c>
      <c r="G25" s="30" t="n">
        <v>2</v>
      </c>
      <c r="H25" s="31" t="n">
        <v>3500000</v>
      </c>
      <c r="I25" s="32" t="n">
        <v>7000000</v>
      </c>
      <c r="J25" s="6" t="n"/>
    </row>
    <row r="26" ht="18" customHeight="1">
      <c r="A26" s="10" t="n">
        <v>23</v>
      </c>
      <c r="B26" s="11" t="inlineStr">
        <is>
          <t>B1-SAN-011</t>
        </is>
      </c>
      <c r="C26" s="11" t="inlineStr">
        <is>
          <t>Сантехника</t>
        </is>
      </c>
      <c r="D26" s="11" t="inlineStr">
        <is>
          <t>Зеркало сенсорное с подсветкой 900×1200</t>
        </is>
      </c>
      <c r="E26" s="11" t="inlineStr">
        <is>
          <t>из исходной сметы</t>
        </is>
      </c>
      <c r="F26" s="10" t="inlineStr">
        <is>
          <t>шт</t>
        </is>
      </c>
      <c r="G26" s="33" t="n">
        <v>1</v>
      </c>
      <c r="H26" s="34" t="n">
        <v>2700000</v>
      </c>
      <c r="I26" s="35" t="n">
        <v>2700000</v>
      </c>
      <c r="J26" s="11" t="n"/>
    </row>
    <row r="27" ht="18" customHeight="1">
      <c r="A27" s="5" t="n">
        <v>24</v>
      </c>
      <c r="B27" s="6" t="inlineStr">
        <is>
          <t>B1-SAN-012</t>
        </is>
      </c>
      <c r="C27" s="6" t="inlineStr">
        <is>
          <t>Сантехника</t>
        </is>
      </c>
      <c r="D27" s="6" t="inlineStr">
        <is>
          <t>Зеркало 1300×2100</t>
        </is>
      </c>
      <c r="E27" s="6" t="inlineStr">
        <is>
          <t>из исходной сметы</t>
        </is>
      </c>
      <c r="F27" s="5" t="inlineStr">
        <is>
          <t>шт</t>
        </is>
      </c>
      <c r="G27" s="30" t="n">
        <v>1</v>
      </c>
      <c r="H27" s="31" t="n">
        <v>4500000</v>
      </c>
      <c r="I27" s="32" t="n">
        <v>4500000</v>
      </c>
      <c r="J27" s="6" t="n"/>
    </row>
    <row r="28" ht="18" customHeight="1">
      <c r="A28" s="10" t="n">
        <v>25</v>
      </c>
      <c r="B28" s="11" t="inlineStr">
        <is>
          <t>B1-SAN-013</t>
        </is>
      </c>
      <c r="C28" s="11" t="inlineStr">
        <is>
          <t>Сантехника</t>
        </is>
      </c>
      <c r="D28" s="11" t="inlineStr">
        <is>
          <t>Смеситель для раковины</t>
        </is>
      </c>
      <c r="E28" s="11" t="inlineStr">
        <is>
          <t>из исходной сметы</t>
        </is>
      </c>
      <c r="F28" s="10" t="inlineStr">
        <is>
          <t>шт</t>
        </is>
      </c>
      <c r="G28" s="33" t="n">
        <v>3</v>
      </c>
      <c r="H28" s="34" t="n">
        <v>1200000</v>
      </c>
      <c r="I28" s="35" t="n">
        <v>3600000</v>
      </c>
      <c r="J28" s="11" t="inlineStr">
        <is>
          <t>в КП подрядчика по сантехнике</t>
        </is>
      </c>
    </row>
    <row r="29" ht="18" customHeight="1">
      <c r="A29" s="5" t="n">
        <v>26</v>
      </c>
      <c r="B29" s="6" t="inlineStr">
        <is>
          <t>B1-SAN-014</t>
        </is>
      </c>
      <c r="C29" s="6" t="inlineStr">
        <is>
          <t>Сантехника</t>
        </is>
      </c>
      <c r="D29" s="6" t="inlineStr">
        <is>
          <t>Трап душевой с сухим затвором</t>
        </is>
      </c>
      <c r="E29" s="6" t="inlineStr">
        <is>
          <t>из исходной сметы</t>
        </is>
      </c>
      <c r="F29" s="5" t="inlineStr">
        <is>
          <t>шт</t>
        </is>
      </c>
      <c r="G29" s="30" t="n">
        <v>2</v>
      </c>
      <c r="H29" s="31" t="n">
        <v>650000</v>
      </c>
      <c r="I29" s="32" t="n">
        <v>1300000</v>
      </c>
      <c r="J29" s="6" t="inlineStr">
        <is>
          <t>в КП подрядчика по сантехнике</t>
        </is>
      </c>
    </row>
    <row r="30" ht="32" customHeight="1">
      <c r="A30" s="10" t="n">
        <v>27</v>
      </c>
      <c r="B30" s="11" t="inlineStr">
        <is>
          <t>B1-SAN-015</t>
        </is>
      </c>
      <c r="C30" s="11" t="inlineStr">
        <is>
          <t>Сантехника</t>
        </is>
      </c>
      <c r="D30" s="11" t="inlineStr">
        <is>
          <t>Насос канализационный (сололифт) для стока душевых</t>
        </is>
      </c>
      <c r="E30" s="11" t="inlineStr">
        <is>
          <t>из исходной сметы</t>
        </is>
      </c>
      <c r="F30" s="10" t="inlineStr">
        <is>
          <t>шт</t>
        </is>
      </c>
      <c r="G30" s="33" t="n">
        <v>1</v>
      </c>
      <c r="H30" s="34" t="n">
        <v>4500000</v>
      </c>
      <c r="I30" s="35" t="n">
        <v>4500000</v>
      </c>
      <c r="J30" s="11" t="inlineStr">
        <is>
          <t>подвал ниже уровня канализации — обязателен</t>
        </is>
      </c>
    </row>
    <row r="31" ht="18" customHeight="1">
      <c r="A31" s="5" t="n">
        <v>28</v>
      </c>
      <c r="B31" s="6" t="inlineStr">
        <is>
          <t>B1-SAN-016</t>
        </is>
      </c>
      <c r="C31" s="6" t="inlineStr">
        <is>
          <t>Сантехника</t>
        </is>
      </c>
      <c r="D31" s="6" t="inlineStr">
        <is>
          <t>Клавиша смыва инсталляции, чёрная</t>
        </is>
      </c>
      <c r="E31" s="6" t="inlineStr">
        <is>
          <t>из исходной сметы</t>
        </is>
      </c>
      <c r="F31" s="5" t="inlineStr">
        <is>
          <t>шт</t>
        </is>
      </c>
      <c r="G31" s="30" t="n">
        <v>2</v>
      </c>
      <c r="H31" s="31" t="n">
        <v>650000</v>
      </c>
      <c r="I31" s="32" t="n">
        <v>1300000</v>
      </c>
      <c r="J31" s="6" t="inlineStr">
        <is>
          <t>по ДП</t>
        </is>
      </c>
    </row>
    <row r="32" ht="18" customHeight="1">
      <c r="A32" s="10" t="n">
        <v>29</v>
      </c>
      <c r="B32" s="11" t="inlineStr">
        <is>
          <t>B1-SAN-017</t>
        </is>
      </c>
      <c r="C32" s="11" t="inlineStr">
        <is>
          <t>Сантехника</t>
        </is>
      </c>
      <c r="D32" s="11" t="inlineStr">
        <is>
          <t>Диспенсер бумажных полотенец</t>
        </is>
      </c>
      <c r="E32" s="11" t="inlineStr">
        <is>
          <t>из исходной сметы</t>
        </is>
      </c>
      <c r="F32" s="10" t="inlineStr">
        <is>
          <t>шт</t>
        </is>
      </c>
      <c r="G32" s="33" t="n">
        <v>3</v>
      </c>
      <c r="H32" s="34" t="n">
        <v>800000</v>
      </c>
      <c r="I32" s="35" t="n">
        <v>2400000</v>
      </c>
      <c r="J32" s="11" t="inlineStr">
        <is>
          <t>по ДП</t>
        </is>
      </c>
    </row>
    <row r="33" ht="18" customHeight="1">
      <c r="A33" s="5" t="n">
        <v>30</v>
      </c>
      <c r="B33" s="6" t="inlineStr">
        <is>
          <t>B1-SAN-018</t>
        </is>
      </c>
      <c r="C33" s="6" t="inlineStr">
        <is>
          <t>Сантехника</t>
        </is>
      </c>
      <c r="D33" s="6" t="inlineStr">
        <is>
          <t>Дозатор жидкого мыла</t>
        </is>
      </c>
      <c r="E33" s="6" t="inlineStr">
        <is>
          <t>из исходной сметы</t>
        </is>
      </c>
      <c r="F33" s="5" t="inlineStr">
        <is>
          <t>шт</t>
        </is>
      </c>
      <c r="G33" s="30" t="n">
        <v>3</v>
      </c>
      <c r="H33" s="31" t="n">
        <v>500000</v>
      </c>
      <c r="I33" s="32" t="n">
        <v>1500000</v>
      </c>
      <c r="J33" s="6" t="inlineStr">
        <is>
          <t>по ДП</t>
        </is>
      </c>
    </row>
    <row r="34" ht="18" customHeight="1">
      <c r="A34" s="40" t="inlineStr">
        <is>
          <t>Итого · Сантехника</t>
        </is>
      </c>
      <c r="B34" s="41" t="n"/>
      <c r="C34" s="41" t="n"/>
      <c r="D34" s="41" t="n"/>
      <c r="E34" s="41" t="n"/>
      <c r="F34" s="41" t="n"/>
      <c r="G34" s="41" t="n"/>
      <c r="H34" s="41" t="n"/>
      <c r="I34" s="42">
        <f>SUM(I16:I33)</f>
        <v/>
      </c>
      <c r="J34" s="41" t="n"/>
    </row>
    <row r="35" ht="20" customHeight="1">
      <c r="A35" s="38" t="inlineStr">
        <is>
          <t>Электрика</t>
        </is>
      </c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</row>
    <row r="36" ht="18" customHeight="1">
      <c r="A36" s="10" t="n">
        <v>31</v>
      </c>
      <c r="B36" s="11" t="inlineStr">
        <is>
          <t>B1-ELE-001</t>
        </is>
      </c>
      <c r="C36" s="11" t="inlineStr">
        <is>
          <t>Электрика</t>
        </is>
      </c>
      <c r="D36" s="11" t="inlineStr">
        <is>
          <t>Розетка одноместная</t>
        </is>
      </c>
      <c r="E36" s="11" t="inlineStr">
        <is>
          <t>из исходной сметы</t>
        </is>
      </c>
      <c r="F36" s="10" t="inlineStr">
        <is>
          <t>шт</t>
        </is>
      </c>
      <c r="G36" s="33" t="n">
        <v>34</v>
      </c>
      <c r="H36" s="34" t="n">
        <v>20400</v>
      </c>
      <c r="I36" s="35" t="n">
        <v>693600</v>
      </c>
      <c r="J36" s="11" t="n"/>
    </row>
    <row r="37" ht="18" customHeight="1">
      <c r="A37" s="5" t="n">
        <v>32</v>
      </c>
      <c r="B37" s="6" t="inlineStr">
        <is>
          <t>B1-ELE-002</t>
        </is>
      </c>
      <c r="C37" s="6" t="inlineStr">
        <is>
          <t>Электрика</t>
        </is>
      </c>
      <c r="D37" s="6" t="inlineStr">
        <is>
          <t>Розетка влагозащищённая IP44</t>
        </is>
      </c>
      <c r="E37" s="6" t="inlineStr">
        <is>
          <t>из исходной сметы</t>
        </is>
      </c>
      <c r="F37" s="5" t="inlineStr">
        <is>
          <t>шт</t>
        </is>
      </c>
      <c r="G37" s="30" t="n">
        <v>3</v>
      </c>
      <c r="H37" s="31" t="n">
        <v>27200</v>
      </c>
      <c r="I37" s="32" t="n">
        <v>81600</v>
      </c>
      <c r="J37" s="6" t="inlineStr">
        <is>
          <t>санузлы, душевые</t>
        </is>
      </c>
    </row>
    <row r="38" ht="18" customHeight="1">
      <c r="A38" s="10" t="n">
        <v>33</v>
      </c>
      <c r="B38" s="11" t="inlineStr">
        <is>
          <t>B1-ELE-003</t>
        </is>
      </c>
      <c r="C38" s="11" t="inlineStr">
        <is>
          <t>Электрика</t>
        </is>
      </c>
      <c r="D38" s="11" t="inlineStr">
        <is>
          <t>ТВ розетка</t>
        </is>
      </c>
      <c r="E38" s="11" t="inlineStr">
        <is>
          <t>из исходной сметы</t>
        </is>
      </c>
      <c r="F38" s="10" t="inlineStr">
        <is>
          <t>шт</t>
        </is>
      </c>
      <c r="G38" s="33" t="n">
        <v>2</v>
      </c>
      <c r="H38" s="34" t="n">
        <v>61300</v>
      </c>
      <c r="I38" s="35" t="n">
        <v>122600</v>
      </c>
      <c r="J38" s="11" t="n"/>
    </row>
    <row r="39" ht="18" customHeight="1">
      <c r="A39" s="5" t="n">
        <v>34</v>
      </c>
      <c r="B39" s="6" t="inlineStr">
        <is>
          <t>B1-ELE-004</t>
        </is>
      </c>
      <c r="C39" s="6" t="inlineStr">
        <is>
          <t>Электрика</t>
        </is>
      </c>
      <c r="D39" s="6" t="inlineStr">
        <is>
          <t>Интернет розетка RJ-45</t>
        </is>
      </c>
      <c r="E39" s="6" t="inlineStr">
        <is>
          <t>из исходной сметы</t>
        </is>
      </c>
      <c r="F39" s="5" t="inlineStr">
        <is>
          <t>шт</t>
        </is>
      </c>
      <c r="G39" s="30" t="n">
        <v>3</v>
      </c>
      <c r="H39" s="31" t="n">
        <v>79000</v>
      </c>
      <c r="I39" s="32" t="n">
        <v>237000</v>
      </c>
      <c r="J39" s="6" t="n"/>
    </row>
    <row r="40" ht="18" customHeight="1">
      <c r="A40" s="10" t="n">
        <v>35</v>
      </c>
      <c r="B40" s="11" t="inlineStr">
        <is>
          <t>B1-ELE-005</t>
        </is>
      </c>
      <c r="C40" s="11" t="inlineStr">
        <is>
          <t>Электрика</t>
        </is>
      </c>
      <c r="D40" s="11" t="inlineStr">
        <is>
          <t>HDMI розетка</t>
        </is>
      </c>
      <c r="E40" s="11" t="inlineStr">
        <is>
          <t>из исходной сметы</t>
        </is>
      </c>
      <c r="F40" s="10" t="inlineStr">
        <is>
          <t>шт</t>
        </is>
      </c>
      <c r="G40" s="33" t="n">
        <v>2</v>
      </c>
      <c r="H40" s="34" t="n">
        <v>75000</v>
      </c>
      <c r="I40" s="35" t="n">
        <v>150000</v>
      </c>
      <c r="J40" s="11" t="n"/>
    </row>
    <row r="41" ht="18" customHeight="1">
      <c r="A41" s="5" t="n">
        <v>37</v>
      </c>
      <c r="B41" s="6" t="inlineStr">
        <is>
          <t>B1-ELE-007</t>
        </is>
      </c>
      <c r="C41" s="6" t="inlineStr">
        <is>
          <t>Электрика</t>
        </is>
      </c>
      <c r="D41" s="6" t="inlineStr">
        <is>
          <t>Выключатель одноклавишный</t>
        </is>
      </c>
      <c r="E41" s="6" t="inlineStr">
        <is>
          <t>из исходной сметы</t>
        </is>
      </c>
      <c r="F41" s="5" t="inlineStr">
        <is>
          <t>шт</t>
        </is>
      </c>
      <c r="G41" s="30" t="n">
        <v>8</v>
      </c>
      <c r="H41" s="31" t="n">
        <v>20400</v>
      </c>
      <c r="I41" s="32" t="n">
        <v>163200</v>
      </c>
      <c r="J41" s="6" t="n"/>
    </row>
    <row r="42" ht="32" customHeight="1">
      <c r="A42" s="10" t="n">
        <v>38</v>
      </c>
      <c r="B42" s="11" t="inlineStr">
        <is>
          <t>B1-ELE-008</t>
        </is>
      </c>
      <c r="C42" s="11" t="inlineStr">
        <is>
          <t>Электрика</t>
        </is>
      </c>
      <c r="D42" s="11" t="inlineStr">
        <is>
          <t>Выключатель двухклавишный</t>
        </is>
      </c>
      <c r="E42" s="11" t="inlineStr">
        <is>
          <t>из исходной сметы</t>
        </is>
      </c>
      <c r="F42" s="10" t="inlineStr">
        <is>
          <t>шт</t>
        </is>
      </c>
      <c r="G42" s="33" t="n">
        <v>1</v>
      </c>
      <c r="H42" s="34" t="n">
        <v>23100</v>
      </c>
      <c r="I42" s="35" t="n">
        <v>23100</v>
      </c>
      <c r="J42" s="11" t="inlineStr">
        <is>
          <t>ИСПРАВЛЕНО: в РП строка дублировала одноклавишный, по УГО плана это двухклавишный</t>
        </is>
      </c>
    </row>
    <row r="43" ht="18" customHeight="1">
      <c r="A43" s="5" t="n">
        <v>39</v>
      </c>
      <c r="B43" s="6" t="inlineStr">
        <is>
          <t>B1-ELE-009</t>
        </is>
      </c>
      <c r="C43" s="6" t="inlineStr">
        <is>
          <t>Электрика</t>
        </is>
      </c>
      <c r="D43" s="6" t="inlineStr">
        <is>
          <t>Рамка 1 пост</t>
        </is>
      </c>
      <c r="E43" s="6" t="inlineStr">
        <is>
          <t>из исходной сметы</t>
        </is>
      </c>
      <c r="F43" s="5" t="inlineStr">
        <is>
          <t>шт</t>
        </is>
      </c>
      <c r="G43" s="30" t="n">
        <v>17</v>
      </c>
      <c r="H43" s="31" t="n">
        <v>6100</v>
      </c>
      <c r="I43" s="32" t="n">
        <v>103700</v>
      </c>
      <c r="J43" s="6" t="inlineStr">
        <is>
          <t>15 по РП + 2 под розетки ТВ</t>
        </is>
      </c>
    </row>
    <row r="44" ht="18" customHeight="1">
      <c r="A44" s="10" t="n">
        <v>40</v>
      </c>
      <c r="B44" s="11" t="inlineStr">
        <is>
          <t>B1-ELE-010</t>
        </is>
      </c>
      <c r="C44" s="11" t="inlineStr">
        <is>
          <t>Электрика</t>
        </is>
      </c>
      <c r="D44" s="11" t="inlineStr">
        <is>
          <t>Рамка 2 поста</t>
        </is>
      </c>
      <c r="E44" s="11" t="inlineStr">
        <is>
          <t>из исходной сметы</t>
        </is>
      </c>
      <c r="F44" s="10" t="inlineStr">
        <is>
          <t>шт</t>
        </is>
      </c>
      <c r="G44" s="33" t="n">
        <v>13</v>
      </c>
      <c r="H44" s="34" t="n">
        <v>16300</v>
      </c>
      <c r="I44" s="35" t="n">
        <v>211900</v>
      </c>
      <c r="J44" s="11" t="n"/>
    </row>
    <row r="45" ht="18" customHeight="1">
      <c r="A45" s="5" t="n">
        <v>41</v>
      </c>
      <c r="B45" s="6" t="inlineStr">
        <is>
          <t>B1-ELE-011</t>
        </is>
      </c>
      <c r="C45" s="6" t="inlineStr">
        <is>
          <t>Электрика</t>
        </is>
      </c>
      <c r="D45" s="6" t="inlineStr">
        <is>
          <t>Рамка 4 поста</t>
        </is>
      </c>
      <c r="E45" s="6" t="inlineStr">
        <is>
          <t>из исходной сметы</t>
        </is>
      </c>
      <c r="F45" s="5" t="inlineStr">
        <is>
          <t>шт</t>
        </is>
      </c>
      <c r="G45" s="30" t="n">
        <v>3</v>
      </c>
      <c r="H45" s="31" t="n">
        <v>25900</v>
      </c>
      <c r="I45" s="32" t="n">
        <v>77700</v>
      </c>
      <c r="J45" s="6" t="n"/>
    </row>
    <row r="46" ht="18" customHeight="1">
      <c r="A46" s="40" t="inlineStr">
        <is>
          <t>Итого · Электрика</t>
        </is>
      </c>
      <c r="B46" s="41" t="n"/>
      <c r="C46" s="41" t="n"/>
      <c r="D46" s="41" t="n"/>
      <c r="E46" s="41" t="n"/>
      <c r="F46" s="41" t="n"/>
      <c r="G46" s="41" t="n"/>
      <c r="H46" s="41" t="n"/>
      <c r="I46" s="42">
        <f>SUM(I36:I45)</f>
        <v/>
      </c>
      <c r="J46" s="41" t="n"/>
    </row>
    <row r="47" ht="20" customHeight="1">
      <c r="A47" s="38" t="inlineStr">
        <is>
          <t>Освещение и LED</t>
        </is>
      </c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</row>
    <row r="48" ht="32" customHeight="1">
      <c r="A48" s="10" t="n">
        <v>45</v>
      </c>
      <c r="B48" s="11" t="inlineStr">
        <is>
          <t>B1-LGT-001</t>
        </is>
      </c>
      <c r="C48" s="11" t="inlineStr">
        <is>
          <t>Освещение и LED</t>
        </is>
      </c>
      <c r="D48" s="11" t="inlineStr">
        <is>
          <t>Магнитный трек 3000 мм, подвес 450 мм от потолка</t>
        </is>
      </c>
      <c r="E48" s="11" t="inlineStr">
        <is>
          <t>из исходной сметы</t>
        </is>
      </c>
      <c r="F48" s="10" t="inlineStr">
        <is>
          <t>шт</t>
        </is>
      </c>
      <c r="G48" s="33" t="n">
        <v>23</v>
      </c>
      <c r="H48" s="34" t="n">
        <v>327200</v>
      </c>
      <c r="I48" s="35" t="n">
        <v>7525600</v>
      </c>
      <c r="J48" s="11" t="n"/>
    </row>
    <row r="49" ht="32" customHeight="1">
      <c r="A49" s="5" t="n">
        <v>46</v>
      </c>
      <c r="B49" s="6" t="inlineStr">
        <is>
          <t>B1-LGT-002</t>
        </is>
      </c>
      <c r="C49" s="6" t="inlineStr">
        <is>
          <t>Освещение и LED</t>
        </is>
      </c>
      <c r="D49" s="6" t="inlineStr">
        <is>
          <t>Магнитный трек 2000 мм, подвес 450 мм от потолка</t>
        </is>
      </c>
      <c r="E49" s="6" t="inlineStr">
        <is>
          <t>из исходной сметы</t>
        </is>
      </c>
      <c r="F49" s="5" t="inlineStr">
        <is>
          <t>шт</t>
        </is>
      </c>
      <c r="G49" s="30" t="n">
        <v>12</v>
      </c>
      <c r="H49" s="31" t="n">
        <v>218100</v>
      </c>
      <c r="I49" s="32" t="n">
        <v>2617200</v>
      </c>
      <c r="J49" s="6" t="n"/>
    </row>
    <row r="50" ht="18" customHeight="1">
      <c r="A50" s="10" t="n">
        <v>47</v>
      </c>
      <c r="B50" s="11" t="inlineStr">
        <is>
          <t>B1-LGT-003</t>
        </is>
      </c>
      <c r="C50" s="11" t="inlineStr">
        <is>
          <t>Освещение и LED</t>
        </is>
      </c>
      <c r="D50" s="11" t="inlineStr">
        <is>
          <t>Спот поворотный магнитный (18-24 Вт)</t>
        </is>
      </c>
      <c r="E50" s="11" t="inlineStr">
        <is>
          <t>из исходной сметы</t>
        </is>
      </c>
      <c r="F50" s="10" t="inlineStr">
        <is>
          <t>шт</t>
        </is>
      </c>
      <c r="G50" s="33" t="n">
        <v>128</v>
      </c>
      <c r="H50" s="34" t="n">
        <v>177200</v>
      </c>
      <c r="I50" s="35" t="n">
        <v>22681600</v>
      </c>
      <c r="J50" s="11" t="n"/>
    </row>
    <row r="51" ht="18" customHeight="1">
      <c r="A51" s="5" t="n">
        <v>48</v>
      </c>
      <c r="B51" s="6" t="inlineStr">
        <is>
          <t>B1-LGT-004</t>
        </is>
      </c>
      <c r="C51" s="6" t="inlineStr">
        <is>
          <t>Освещение и LED</t>
        </is>
      </c>
      <c r="D51" s="6" t="inlineStr">
        <is>
          <t>Светильник точечный накладной</t>
        </is>
      </c>
      <c r="E51" s="6" t="inlineStr">
        <is>
          <t>из исходной сметы</t>
        </is>
      </c>
      <c r="F51" s="5" t="inlineStr">
        <is>
          <t>шт</t>
        </is>
      </c>
      <c r="G51" s="30" t="n">
        <v>9</v>
      </c>
      <c r="H51" s="31" t="n">
        <v>218100</v>
      </c>
      <c r="I51" s="32" t="n">
        <v>1962900</v>
      </c>
      <c r="J51" s="6" t="inlineStr">
        <is>
          <t>склад, санузлы</t>
        </is>
      </c>
    </row>
    <row r="52" ht="18" customHeight="1">
      <c r="A52" s="10" t="n">
        <v>49</v>
      </c>
      <c r="B52" s="11" t="inlineStr">
        <is>
          <t>B1-LGT-005</t>
        </is>
      </c>
      <c r="C52" s="11" t="inlineStr">
        <is>
          <t>Освещение и LED</t>
        </is>
      </c>
      <c r="D52" s="11" t="inlineStr">
        <is>
          <t>Бра линейное 900 мм</t>
        </is>
      </c>
      <c r="E52" s="11" t="inlineStr">
        <is>
          <t>из исходной сметы</t>
        </is>
      </c>
      <c r="F52" s="10" t="inlineStr">
        <is>
          <t>шт</t>
        </is>
      </c>
      <c r="G52" s="33" t="n">
        <v>2</v>
      </c>
      <c r="H52" s="34" t="n">
        <v>231800</v>
      </c>
      <c r="I52" s="35" t="n">
        <v>463600</v>
      </c>
      <c r="J52" s="11" t="inlineStr">
        <is>
          <t>зона лестницы</t>
        </is>
      </c>
    </row>
    <row r="53" ht="32" customHeight="1">
      <c r="A53" s="5" t="n">
        <v>50</v>
      </c>
      <c r="B53" s="6" t="inlineStr">
        <is>
          <t>B1-LGT-006</t>
        </is>
      </c>
      <c r="C53" s="6" t="inlineStr">
        <is>
          <t>Освещение и LED</t>
        </is>
      </c>
      <c r="D53" s="6" t="inlineStr">
        <is>
          <t>Светильник аварийный с БАП</t>
        </is>
      </c>
      <c r="E53" s="6" t="inlineStr">
        <is>
          <t>из исходной сметы</t>
        </is>
      </c>
      <c r="F53" s="5" t="inlineStr">
        <is>
          <t>шт</t>
        </is>
      </c>
      <c r="G53" s="30" t="n">
        <v>4</v>
      </c>
      <c r="H53" s="31" t="n">
        <v>163600</v>
      </c>
      <c r="I53" s="32" t="n">
        <v>654400</v>
      </c>
      <c r="J53" s="6" t="inlineStr">
        <is>
          <t>ДОБАВЛЕНО: зал и пути эвакуации, в пределах нормы</t>
        </is>
      </c>
    </row>
    <row r="54" ht="18" customHeight="1">
      <c r="A54" s="10" t="n">
        <v>51</v>
      </c>
      <c r="B54" s="11" t="inlineStr">
        <is>
          <t>B1-LGT-007</t>
        </is>
      </c>
      <c r="C54" s="11" t="inlineStr">
        <is>
          <t>Освещение и LED</t>
        </is>
      </c>
      <c r="D54" s="11" t="inlineStr">
        <is>
          <t>Указатель «ВЫХОД» с БАП</t>
        </is>
      </c>
      <c r="E54" s="11" t="inlineStr">
        <is>
          <t>из исходной сметы</t>
        </is>
      </c>
      <c r="F54" s="10" t="inlineStr">
        <is>
          <t>шт</t>
        </is>
      </c>
      <c r="G54" s="33" t="n">
        <v>2</v>
      </c>
      <c r="H54" s="34" t="n">
        <v>163600</v>
      </c>
      <c r="I54" s="35" t="n">
        <v>327200</v>
      </c>
      <c r="J54" s="11" t="inlineStr">
        <is>
          <t>ДОБАВЛЕНО: над выходом и на лестнице</t>
        </is>
      </c>
    </row>
    <row r="55" ht="32" customHeight="1">
      <c r="A55" s="5" t="n">
        <v>52</v>
      </c>
      <c r="B55" s="6" t="inlineStr">
        <is>
          <t>B1-LGT-008</t>
        </is>
      </c>
      <c r="C55" s="6" t="inlineStr">
        <is>
          <t>Освещение и LED</t>
        </is>
      </c>
      <c r="D55" s="6" t="inlineStr">
        <is>
          <t>LED-лента по контурам ниш и панелей (по РП)</t>
        </is>
      </c>
      <c r="E55" s="6" t="inlineStr">
        <is>
          <t>из исходной сметы</t>
        </is>
      </c>
      <c r="F55" s="5" t="inlineStr">
        <is>
          <t>м</t>
        </is>
      </c>
      <c r="G55" s="30" t="n">
        <v>49.5</v>
      </c>
      <c r="H55" s="31" t="n">
        <v>21800</v>
      </c>
      <c r="I55" s="32" t="n">
        <v>1079100</v>
      </c>
      <c r="J55" s="6" t="inlineStr">
        <is>
          <t>30 участков по л.11</t>
        </is>
      </c>
    </row>
    <row r="56" ht="32" customHeight="1">
      <c r="A56" s="10" t="n">
        <v>53</v>
      </c>
      <c r="B56" s="11" t="inlineStr">
        <is>
          <t>B1-LGT-009</t>
        </is>
      </c>
      <c r="C56" s="11" t="inlineStr">
        <is>
          <t>Освещение и LED</t>
        </is>
      </c>
      <c r="D56" s="11" t="inlineStr">
        <is>
          <t>LED-лента подсветки подступёнков лестницы</t>
        </is>
      </c>
      <c r="E56" s="11" t="inlineStr">
        <is>
          <t>из исходной сметы</t>
        </is>
      </c>
      <c r="F56" s="10" t="inlineStr">
        <is>
          <t>ступ.</t>
        </is>
      </c>
      <c r="G56" s="33" t="n">
        <v>12</v>
      </c>
      <c r="H56" s="34" t="n">
        <v>21800</v>
      </c>
      <c r="I56" s="35" t="n">
        <v>261600</v>
      </c>
      <c r="J56" s="11" t="inlineStr">
        <is>
          <t>ПРЕДВАРИТЕЛЬНО. H = ширина марша, м (жёлтая ячейка)</t>
        </is>
      </c>
    </row>
    <row r="57" ht="18" customHeight="1">
      <c r="A57" s="5" t="n">
        <v>54</v>
      </c>
      <c r="B57" s="6" t="inlineStr">
        <is>
          <t>B1-LGT-010</t>
        </is>
      </c>
      <c r="C57" s="6" t="inlineStr">
        <is>
          <t>Освещение и LED</t>
        </is>
      </c>
      <c r="D57" s="6" t="inlineStr">
        <is>
          <t>LED-лента доп. контуров по факту разверток</t>
        </is>
      </c>
      <c r="E57" s="6" t="inlineStr">
        <is>
          <t>из исходной сметы</t>
        </is>
      </c>
      <c r="F57" s="5" t="inlineStr">
        <is>
          <t>м</t>
        </is>
      </c>
      <c r="G57" s="30" t="n">
        <v>40</v>
      </c>
      <c r="H57" s="31" t="n">
        <v>21800</v>
      </c>
      <c r="I57" s="32" t="n">
        <v>872000</v>
      </c>
      <c r="J57" s="6" t="inlineStr">
        <is>
          <t>ПРЕДВАРИТЕЛЬНО, уточнить по разверткам</t>
        </is>
      </c>
    </row>
    <row r="58" ht="18" customHeight="1">
      <c r="A58" s="10" t="n">
        <v>56</v>
      </c>
      <c r="B58" s="11" t="inlineStr">
        <is>
          <t>B1-LGT-012</t>
        </is>
      </c>
      <c r="C58" s="11" t="inlineStr">
        <is>
          <t>Освещение и LED</t>
        </is>
      </c>
      <c r="D58" s="11" t="inlineStr">
        <is>
          <t>Блок питания магнитного трека 200 Вт</t>
        </is>
      </c>
      <c r="E58" s="11" t="inlineStr">
        <is>
          <t>из исходной сметы</t>
        </is>
      </c>
      <c r="F58" s="10" t="inlineStr">
        <is>
          <t>шт</t>
        </is>
      </c>
      <c r="G58" s="33" t="n">
        <v>14</v>
      </c>
      <c r="H58" s="34" t="n">
        <v>231800</v>
      </c>
      <c r="I58" s="35" t="n">
        <v>3245200</v>
      </c>
      <c r="J58" s="11" t="inlineStr">
        <is>
          <t>уточнить мощность спота</t>
        </is>
      </c>
    </row>
    <row r="59" ht="18" customHeight="1">
      <c r="A59" s="5" t="n">
        <v>57</v>
      </c>
      <c r="B59" s="6" t="inlineStr">
        <is>
          <t>B1-LGT-013</t>
        </is>
      </c>
      <c r="C59" s="6" t="inlineStr">
        <is>
          <t>Освещение и LED</t>
        </is>
      </c>
      <c r="D59" s="6" t="inlineStr">
        <is>
          <t>Блок питания LED-ленты 200 Вт</t>
        </is>
      </c>
      <c r="E59" s="6" t="inlineStr">
        <is>
          <t>из исходной сметы</t>
        </is>
      </c>
      <c r="F59" s="5" t="inlineStr">
        <is>
          <t>шт</t>
        </is>
      </c>
      <c r="G59" s="30" t="n">
        <v>9</v>
      </c>
      <c r="H59" s="31" t="n">
        <v>163600</v>
      </c>
      <c r="I59" s="32" t="n">
        <v>1472400</v>
      </c>
      <c r="J59" s="6" t="inlineStr">
        <is>
          <t>прим. 12 РП: вывести в электрощиток</t>
        </is>
      </c>
    </row>
    <row r="60" ht="18" customHeight="1">
      <c r="A60" s="10" t="n">
        <v>58</v>
      </c>
      <c r="B60" s="11" t="inlineStr">
        <is>
          <t>B1-LGT-014</t>
        </is>
      </c>
      <c r="C60" s="11" t="inlineStr">
        <is>
          <t>Освещение и LED</t>
        </is>
      </c>
      <c r="D60" s="11" t="inlineStr">
        <is>
          <t>Подвес тросовый для трека (комплект)</t>
        </is>
      </c>
      <c r="E60" s="11" t="inlineStr">
        <is>
          <t>из исходной сметы</t>
        </is>
      </c>
      <c r="F60" s="10" t="inlineStr">
        <is>
          <t>компл</t>
        </is>
      </c>
      <c r="G60" s="33" t="n">
        <v>47</v>
      </c>
      <c r="H60" s="34" t="n">
        <v>34000</v>
      </c>
      <c r="I60" s="35" t="n">
        <v>1598000</v>
      </c>
      <c r="J60" s="11" t="n"/>
    </row>
    <row r="61" ht="18" customHeight="1">
      <c r="A61" s="5" t="n">
        <v>59</v>
      </c>
      <c r="B61" s="6" t="inlineStr">
        <is>
          <t>B1-LGT-015</t>
        </is>
      </c>
      <c r="C61" s="6" t="inlineStr">
        <is>
          <t>Освещение и LED</t>
        </is>
      </c>
      <c r="D61" s="6" t="inlineStr">
        <is>
          <t>Коннектор прямой / угловой для трека</t>
        </is>
      </c>
      <c r="E61" s="6" t="inlineStr">
        <is>
          <t>из исходной сметы</t>
        </is>
      </c>
      <c r="F61" s="5" t="inlineStr">
        <is>
          <t>шт</t>
        </is>
      </c>
      <c r="G61" s="30" t="n">
        <v>25</v>
      </c>
      <c r="H61" s="31" t="n">
        <v>40900</v>
      </c>
      <c r="I61" s="32" t="n">
        <v>1022500</v>
      </c>
      <c r="J61" s="6" t="inlineStr">
        <is>
          <t>уточнить по раскладке</t>
        </is>
      </c>
    </row>
    <row r="62" ht="18" customHeight="1">
      <c r="A62" s="40" t="inlineStr">
        <is>
          <t>Итого · Освещение и LED</t>
        </is>
      </c>
      <c r="B62" s="41" t="n"/>
      <c r="C62" s="41" t="n"/>
      <c r="D62" s="41" t="n"/>
      <c r="E62" s="41" t="n"/>
      <c r="F62" s="41" t="n"/>
      <c r="G62" s="41" t="n"/>
      <c r="H62" s="41" t="n"/>
      <c r="I62" s="42">
        <f>SUM(I48:I61)</f>
        <v/>
      </c>
      <c r="J62" s="41" t="n"/>
    </row>
    <row r="63" ht="20" customHeight="1">
      <c r="A63" s="38" t="inlineStr">
        <is>
          <t>Отделка (стены, потолок, полы)</t>
        </is>
      </c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</row>
    <row r="64" ht="18" customHeight="1">
      <c r="A64" s="10" t="n">
        <v>61</v>
      </c>
      <c r="B64" s="11" t="inlineStr">
        <is>
          <t>B1-FIN-001</t>
        </is>
      </c>
      <c r="C64" s="11" t="inlineStr">
        <is>
          <t>Отделка (стены, потолок, полы)</t>
        </is>
      </c>
      <c r="D64" s="11" t="inlineStr">
        <is>
          <t>Покраска RAL 5024 «Тиффани тёмный»</t>
        </is>
      </c>
      <c r="E64" s="11" t="inlineStr">
        <is>
          <t>из исходной сметы</t>
        </is>
      </c>
      <c r="F64" s="10" t="inlineStr">
        <is>
          <t>м²</t>
        </is>
      </c>
      <c r="G64" s="33" t="n">
        <v>44.5</v>
      </c>
      <c r="H64" s="34" t="n">
        <v>19300</v>
      </c>
      <c r="I64" s="35" t="n">
        <v>858850</v>
      </c>
      <c r="J64" s="11" t="inlineStr">
        <is>
          <t>оставлено по РП (решение заказчика)</t>
        </is>
      </c>
    </row>
    <row r="65" ht="32" customHeight="1">
      <c r="A65" s="5" t="n">
        <v>62</v>
      </c>
      <c r="B65" s="6" t="inlineStr">
        <is>
          <t>B1-FIN-002</t>
        </is>
      </c>
      <c r="C65" s="6" t="inlineStr">
        <is>
          <t>Отделка (стены, потолок, полы)</t>
        </is>
      </c>
      <c r="D65" s="6" t="inlineStr">
        <is>
          <t>Покраска RAL 9006 «белый алюминий»</t>
        </is>
      </c>
      <c r="E65" s="6" t="inlineStr">
        <is>
          <t>из исходной сметы</t>
        </is>
      </c>
      <c r="F65" s="5" t="inlineStr">
        <is>
          <t>м²</t>
        </is>
      </c>
      <c r="G65" s="30" t="n">
        <v>10.2</v>
      </c>
      <c r="H65" s="31" t="n">
        <v>29400</v>
      </c>
      <c r="I65" s="32" t="n">
        <v>299880</v>
      </c>
      <c r="J65" s="6" t="inlineStr">
        <is>
          <t>подтверждено заказчиком, наименование уточнено</t>
        </is>
      </c>
    </row>
    <row r="66" ht="18" customHeight="1">
      <c r="A66" s="10" t="n">
        <v>63</v>
      </c>
      <c r="B66" s="11" t="inlineStr">
        <is>
          <t>B1-FIN-003</t>
        </is>
      </c>
      <c r="C66" s="11" t="inlineStr">
        <is>
          <t>Отделка (стены, потолок, полы)</t>
        </is>
      </c>
      <c r="D66" s="11" t="inlineStr">
        <is>
          <t>Покраска RAL 5024 «Тиффани тёмный»</t>
        </is>
      </c>
      <c r="E66" s="11" t="inlineStr">
        <is>
          <t>из исходной сметы</t>
        </is>
      </c>
      <c r="F66" s="10" t="inlineStr">
        <is>
          <t>м²</t>
        </is>
      </c>
      <c r="G66" s="33" t="n">
        <v>3.9</v>
      </c>
      <c r="H66" s="34" t="n">
        <v>21600</v>
      </c>
      <c r="I66" s="35" t="n">
        <v>84240</v>
      </c>
      <c r="J66" s="11" t="inlineStr">
        <is>
          <t>оставлено дублем по решению заказчика</t>
        </is>
      </c>
    </row>
    <row r="67" ht="32" customHeight="1">
      <c r="A67" s="5" t="n">
        <v>64</v>
      </c>
      <c r="B67" s="6" t="inlineStr">
        <is>
          <t>B1-FIN-004</t>
        </is>
      </c>
      <c r="C67" s="6" t="inlineStr">
        <is>
          <t>Отделка (стены, потолок, полы)</t>
        </is>
      </c>
      <c r="D67" s="6" t="inlineStr">
        <is>
          <t>Покраска RAL 7043 (тёмно-серый)</t>
        </is>
      </c>
      <c r="E67" s="6" t="inlineStr">
        <is>
          <t>из исходной сметы</t>
        </is>
      </c>
      <c r="F67" s="5" t="inlineStr">
        <is>
          <t>м²</t>
        </is>
      </c>
      <c r="G67" s="30" t="n">
        <v>23.2</v>
      </c>
      <c r="H67" s="31" t="n">
        <v>28900</v>
      </c>
      <c r="I67" s="32" t="n">
        <v>670480</v>
      </c>
      <c r="J67" s="6" t="inlineStr">
        <is>
          <t>подтверждено заказчиком, наименование уточнено</t>
        </is>
      </c>
    </row>
    <row r="68" ht="32" customHeight="1">
      <c r="A68" s="10" t="n">
        <v>69</v>
      </c>
      <c r="B68" s="11" t="inlineStr">
        <is>
          <t>B1-FIN-009</t>
        </is>
      </c>
      <c r="C68" s="11" t="inlineStr">
        <is>
          <t>Отделка (стены, потолок, полы)</t>
        </is>
      </c>
      <c r="D68" s="11" t="inlineStr">
        <is>
          <t>Потолок: окраска чёрная — только плита перекрытия и балки</t>
        </is>
      </c>
      <c r="E68" s="11" t="inlineStr">
        <is>
          <t>из исходной сметы</t>
        </is>
      </c>
      <c r="F68" s="10" t="inlineStr">
        <is>
          <t>м²</t>
        </is>
      </c>
      <c r="G68" s="33" t="n">
        <v>125.3</v>
      </c>
      <c r="H68" s="34" t="n">
        <v>8000</v>
      </c>
      <c r="I68" s="35" t="n">
        <v>1002400</v>
      </c>
      <c r="J68" s="11" t="inlineStr">
        <is>
          <t>Воздуховоды и кабельные лотки НЕ красятся, остаются в оцинковке</t>
        </is>
      </c>
    </row>
    <row r="69" ht="32" customHeight="1">
      <c r="A69" s="5" t="n">
        <v>70</v>
      </c>
      <c r="B69" s="6" t="inlineStr">
        <is>
          <t>B1-FIN-010</t>
        </is>
      </c>
      <c r="C69" s="6" t="inlineStr">
        <is>
          <t>Отделка (стены, потолок, полы)</t>
        </is>
      </c>
      <c r="D69" s="6" t="inlineStr">
        <is>
          <t>Резиновое покрытие — тренажёрный зал</t>
        </is>
      </c>
      <c r="E69" s="6" t="inlineStr">
        <is>
          <t>из исходной сметы</t>
        </is>
      </c>
      <c r="F69" s="5" t="inlineStr">
        <is>
          <t>м²</t>
        </is>
      </c>
      <c r="G69" s="30" t="n">
        <v>73.64</v>
      </c>
      <c r="H69" s="31" t="n">
        <v>295000</v>
      </c>
      <c r="I69" s="32" t="n">
        <v>21723800</v>
      </c>
      <c r="J69" s="6" t="inlineStr">
        <is>
          <t>ИСПРАВЛЕНО: в РП тут значилось «перекрытие». По ДП в зале резина</t>
        </is>
      </c>
    </row>
    <row r="70" ht="32" customHeight="1">
      <c r="A70" s="10" t="n">
        <v>71</v>
      </c>
      <c r="B70" s="11" t="inlineStr">
        <is>
          <t>B1-FIN-011</t>
        </is>
      </c>
      <c r="C70" s="11" t="inlineStr">
        <is>
          <t>Отделка (стены, потолок, полы)</t>
        </is>
      </c>
      <c r="D70" s="11" t="inlineStr">
        <is>
          <t>Наливной пол / микроцемент — ресепшн, раздевалка, склад, ЛК, лестница</t>
        </is>
      </c>
      <c r="E70" s="11" t="inlineStr">
        <is>
          <t>из исходной сметы</t>
        </is>
      </c>
      <c r="F70" s="10" t="inlineStr">
        <is>
          <t>м²</t>
        </is>
      </c>
      <c r="G70" s="33" t="n">
        <v>48.95</v>
      </c>
      <c r="H70" s="34" t="n">
        <v>25500</v>
      </c>
      <c r="I70" s="35" t="n">
        <v>1248225</v>
      </c>
      <c r="J70" s="11" t="inlineStr">
        <is>
          <t>ИСПРАВЛЕНО: 59,06 по РП минус 10,11 мокрых зон</t>
        </is>
      </c>
    </row>
    <row r="71" ht="18" customHeight="1">
      <c r="A71" s="5" t="n">
        <v>73</v>
      </c>
      <c r="B71" s="6" t="inlineStr">
        <is>
          <t>B1-FIN-013</t>
        </is>
      </c>
      <c r="C71" s="6" t="inlineStr">
        <is>
          <t>Отделка (стены, потолок, полы)</t>
        </is>
      </c>
      <c r="D71" s="6" t="inlineStr">
        <is>
          <t>Гидроизоляция обмазочная, мокрые зоны</t>
        </is>
      </c>
      <c r="E71" s="6" t="inlineStr">
        <is>
          <t>из исходной сметы</t>
        </is>
      </c>
      <c r="F71" s="5" t="inlineStr">
        <is>
          <t>м²</t>
        </is>
      </c>
      <c r="G71" s="30" t="n">
        <v>18</v>
      </c>
      <c r="H71" s="31" t="n">
        <v>80000</v>
      </c>
      <c r="I71" s="32" t="n">
        <v>1440000</v>
      </c>
      <c r="J71" s="6" t="n"/>
    </row>
    <row r="72" ht="18" customHeight="1">
      <c r="A72" s="40" t="inlineStr">
        <is>
          <t>Итого · Отделка (стены, потолок, полы)</t>
        </is>
      </c>
      <c r="B72" s="41" t="n"/>
      <c r="C72" s="41" t="n"/>
      <c r="D72" s="41" t="n"/>
      <c r="E72" s="41" t="n"/>
      <c r="F72" s="41" t="n"/>
      <c r="G72" s="41" t="n"/>
      <c r="H72" s="41" t="n"/>
      <c r="I72" s="42">
        <f>SUM(I64:I71)</f>
        <v/>
      </c>
      <c r="J72" s="41" t="n"/>
    </row>
    <row r="73" ht="20" customHeight="1">
      <c r="A73" s="38" t="inlineStr">
        <is>
          <t>Оборудование и закупка заказчика</t>
        </is>
      </c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</row>
    <row r="74" ht="32" customHeight="1">
      <c r="A74" s="10" t="n">
        <v>92</v>
      </c>
      <c r="B74" s="11" t="inlineStr">
        <is>
          <t>B1-EQP-001</t>
        </is>
      </c>
      <c r="C74" s="11" t="inlineStr">
        <is>
          <t>Оборудование и закупка заказчика</t>
        </is>
      </c>
      <c r="D74" s="11" t="inlineStr">
        <is>
          <t>TECHNOGYM: RUN LIVE 22 5000 — беговая дорожка, консоль LIVE 22", тюнер DVB-T2/C + IPTV</t>
        </is>
      </c>
      <c r="E74" s="11" t="inlineStr">
        <is>
          <t>КП Wellness Point: EUR со скидкой × 1,19 $/€ × 11 700</t>
        </is>
      </c>
      <c r="F74" s="10" t="inlineStr">
        <is>
          <t>шт</t>
        </is>
      </c>
      <c r="G74" s="33" t="n">
        <v>2</v>
      </c>
      <c r="H74" s="34" t="n">
        <v>207257778</v>
      </c>
      <c r="I74" s="35" t="n">
        <v>414515556</v>
      </c>
      <c r="J74" s="11" t="inlineStr">
        <is>
          <t>Нужен ТВ-сигнал или LAN на каждую. В РП и ДП дорожек 3</t>
        </is>
      </c>
    </row>
    <row r="75" ht="32" customHeight="1">
      <c r="A75" s="5" t="n">
        <v>93</v>
      </c>
      <c r="B75" s="6" t="inlineStr">
        <is>
          <t>B1-EQP-002</t>
        </is>
      </c>
      <c r="C75" s="6" t="inlineStr">
        <is>
          <t>Оборудование и закупка заказчика</t>
        </is>
      </c>
      <c r="D75" s="6" t="inlineStr">
        <is>
          <t>TECHNOGYM: CABLE CROSSOVER — кроссовер, стек +100 кг</t>
        </is>
      </c>
      <c r="E75" s="6" t="inlineStr">
        <is>
          <t>КП Wellness Point: EUR со скидкой × 1,19 $/€ × 11 700</t>
        </is>
      </c>
      <c r="F75" s="5" t="inlineStr">
        <is>
          <t>шт</t>
        </is>
      </c>
      <c r="G75" s="30" t="n">
        <v>1</v>
      </c>
      <c r="H75" s="31" t="n">
        <v>135080946</v>
      </c>
      <c r="I75" s="32" t="n">
        <v>135080946</v>
      </c>
      <c r="J75" s="6" t="inlineStr">
        <is>
          <t>Фронт ~4 м. Проверить занос в подвал</t>
        </is>
      </c>
    </row>
    <row r="76" ht="32" customHeight="1">
      <c r="A76" s="10" t="n">
        <v>94</v>
      </c>
      <c r="B76" s="11" t="inlineStr">
        <is>
          <t>B1-EQP-003</t>
        </is>
      </c>
      <c r="C76" s="11" t="inlineStr">
        <is>
          <t>Оборудование и закупка заказчика</t>
        </is>
      </c>
      <c r="D76" s="11" t="inlineStr">
        <is>
          <t>TECHNOGYM: Артикул без наименования (по фото — жим ногами)</t>
        </is>
      </c>
      <c r="E76" s="11" t="inlineStr">
        <is>
          <t>КП Wellness Point: EUR со скидкой × 1,19 $/€ × 11 700</t>
        </is>
      </c>
      <c r="F76" s="10" t="inlineStr">
        <is>
          <t>шт</t>
        </is>
      </c>
      <c r="G76" s="33" t="n">
        <v>1</v>
      </c>
      <c r="H76" s="34" t="n">
        <v>118415115</v>
      </c>
      <c r="I76" s="35" t="n">
        <v>118415115</v>
      </c>
      <c r="J76" s="11" t="inlineStr">
        <is>
          <t>ТРЕБОВАТЬ РАСШИФРОВКУ до договора</t>
        </is>
      </c>
    </row>
    <row r="77" ht="32" customHeight="1">
      <c r="A77" s="5" t="n">
        <v>95</v>
      </c>
      <c r="B77" s="6" t="inlineStr">
        <is>
          <t>B1-EQP-004</t>
        </is>
      </c>
      <c r="C77" s="6" t="inlineStr">
        <is>
          <t>Оборудование и закупка заказчика</t>
        </is>
      </c>
      <c r="D77" s="6" t="inlineStr">
        <is>
          <t>TECHNOGYM: Артикул без наименования (по фото — жим сидя)</t>
        </is>
      </c>
      <c r="E77" s="6" t="inlineStr">
        <is>
          <t>КП Wellness Point: EUR со скидкой × 1,19 $/€ × 11 700</t>
        </is>
      </c>
      <c r="F77" s="5" t="inlineStr">
        <is>
          <t>шт</t>
        </is>
      </c>
      <c r="G77" s="30" t="n">
        <v>1</v>
      </c>
      <c r="H77" s="31" t="n">
        <v>78943410</v>
      </c>
      <c r="I77" s="32" t="n">
        <v>78943410</v>
      </c>
      <c r="J77" s="6" t="inlineStr">
        <is>
          <t>ТРЕБОВАТЬ РАСШИФРОВКУ. Возможен дубль с Hoist RPL-5303</t>
        </is>
      </c>
    </row>
    <row r="78" ht="32" customHeight="1">
      <c r="A78" s="10" t="n">
        <v>96</v>
      </c>
      <c r="B78" s="11" t="inlineStr">
        <is>
          <t>B1-EQP-005</t>
        </is>
      </c>
      <c r="C78" s="11" t="inlineStr">
        <is>
          <t>Оборудование и закупка заказчика</t>
        </is>
      </c>
      <c r="D78" s="11" t="inlineStr">
        <is>
          <t>TECHNOGYM: Артикул без наименования (селективный тренажёр)</t>
        </is>
      </c>
      <c r="E78" s="11" t="inlineStr">
        <is>
          <t>КП Wellness Point: EUR со скидкой × 1,19 $/€ × 11 700</t>
        </is>
      </c>
      <c r="F78" s="10" t="inlineStr">
        <is>
          <t>шт</t>
        </is>
      </c>
      <c r="G78" s="33" t="n">
        <v>1</v>
      </c>
      <c r="H78" s="34" t="n">
        <v>78943410</v>
      </c>
      <c r="I78" s="35" t="n">
        <v>78943410</v>
      </c>
      <c r="J78" s="11" t="inlineStr">
        <is>
          <t>ТРЕБОВАТЬ РАСШИФРОВКУ</t>
        </is>
      </c>
    </row>
    <row r="79" ht="32" customHeight="1">
      <c r="A79" s="5" t="n">
        <v>97</v>
      </c>
      <c r="B79" s="6" t="inlineStr">
        <is>
          <t>B1-EQP-006</t>
        </is>
      </c>
      <c r="C79" s="6" t="inlineStr">
        <is>
          <t>Оборудование и закупка заказчика</t>
        </is>
      </c>
      <c r="D79" s="6" t="inlineStr">
        <is>
          <t>TECHNOGYM: SCOTT BENCH — скамья Скотта</t>
        </is>
      </c>
      <c r="E79" s="6" t="inlineStr">
        <is>
          <t>КП Wellness Point: EUR со скидкой × 1,19 $/€ × 11 700</t>
        </is>
      </c>
      <c r="F79" s="5" t="inlineStr">
        <is>
          <t>шт</t>
        </is>
      </c>
      <c r="G79" s="30" t="n">
        <v>1</v>
      </c>
      <c r="H79" s="31" t="n">
        <v>20299734</v>
      </c>
      <c r="I79" s="32" t="n">
        <v>20299734</v>
      </c>
      <c r="J79" s="6" t="n"/>
    </row>
    <row r="80" ht="32" customHeight="1">
      <c r="A80" s="10" t="n">
        <v>98</v>
      </c>
      <c r="B80" s="11" t="inlineStr">
        <is>
          <t>B1-EQP-007</t>
        </is>
      </c>
      <c r="C80" s="11" t="inlineStr">
        <is>
          <t>Оборудование и закупка заказчика</t>
        </is>
      </c>
      <c r="D80" s="11" t="inlineStr">
        <is>
          <t>TECHNOGYM: Barbell B015 — гриф</t>
        </is>
      </c>
      <c r="E80" s="11" t="inlineStr">
        <is>
          <t>КП Wellness Point: EUR со скидкой × 1,19 $/€ × 11 700</t>
        </is>
      </c>
      <c r="F80" s="10" t="inlineStr">
        <is>
          <t>шт</t>
        </is>
      </c>
      <c r="G80" s="33" t="n">
        <v>1</v>
      </c>
      <c r="H80" s="34" t="n">
        <v>4886973</v>
      </c>
      <c r="I80" s="35" t="n">
        <v>4886973</v>
      </c>
      <c r="J80" s="11" t="inlineStr">
        <is>
          <t>один гриф на зал</t>
        </is>
      </c>
    </row>
    <row r="81" ht="32" customHeight="1">
      <c r="A81" s="5" t="n">
        <v>99</v>
      </c>
      <c r="B81" s="6" t="inlineStr">
        <is>
          <t>B1-EQP-008</t>
        </is>
      </c>
      <c r="C81" s="6" t="inlineStr">
        <is>
          <t>Оборудование и закупка заказчика</t>
        </is>
      </c>
      <c r="D81" s="6" t="inlineStr">
        <is>
          <t>TECHNOGYM: PLATE RACK — стойка для дисков</t>
        </is>
      </c>
      <c r="E81" s="6" t="inlineStr">
        <is>
          <t>КП Wellness Point: EUR со скидкой × 1,19 $/€ × 11 700</t>
        </is>
      </c>
      <c r="F81" s="5" t="inlineStr">
        <is>
          <t>шт</t>
        </is>
      </c>
      <c r="G81" s="30" t="n">
        <v>1</v>
      </c>
      <c r="H81" s="31" t="n">
        <v>10275174</v>
      </c>
      <c r="I81" s="32" t="n">
        <v>10275174</v>
      </c>
      <c r="J81" s="6" t="inlineStr">
        <is>
          <t>в РП и ДП стоек 2</t>
        </is>
      </c>
    </row>
    <row r="82" ht="32" customHeight="1">
      <c r="A82" s="10" t="n">
        <v>100</v>
      </c>
      <c r="B82" s="11" t="inlineStr">
        <is>
          <t>B1-EQP-009</t>
        </is>
      </c>
      <c r="C82" s="11" t="inlineStr">
        <is>
          <t>Оборудование и закупка заказчика</t>
        </is>
      </c>
      <c r="D82" s="11" t="inlineStr">
        <is>
          <t>TECHNOGYM: Urethane disk 2,5 кг</t>
        </is>
      </c>
      <c r="E82" s="11" t="inlineStr">
        <is>
          <t>КП Wellness Point: EUR со скидкой × 1,19 $/€ × 11 700</t>
        </is>
      </c>
      <c r="F82" s="10" t="inlineStr">
        <is>
          <t>шт</t>
        </is>
      </c>
      <c r="G82" s="33" t="n">
        <v>2</v>
      </c>
      <c r="H82" s="34" t="n">
        <v>814495</v>
      </c>
      <c r="I82" s="35" t="n">
        <v>1628990</v>
      </c>
      <c r="J82" s="11" t="n"/>
    </row>
    <row r="83" ht="32" customHeight="1">
      <c r="A83" s="5" t="n">
        <v>101</v>
      </c>
      <c r="B83" s="6" t="inlineStr">
        <is>
          <t>B1-EQP-010</t>
        </is>
      </c>
      <c r="C83" s="6" t="inlineStr">
        <is>
          <t>Оборудование и закупка заказчика</t>
        </is>
      </c>
      <c r="D83" s="6" t="inlineStr">
        <is>
          <t>TECHNOGYM: Urethane disk 5 кг</t>
        </is>
      </c>
      <c r="E83" s="6" t="inlineStr">
        <is>
          <t>КП Wellness Point: EUR со скидкой × 1,19 $/€ × 11 700</t>
        </is>
      </c>
      <c r="F83" s="5" t="inlineStr">
        <is>
          <t>шт</t>
        </is>
      </c>
      <c r="G83" s="30" t="n">
        <v>4</v>
      </c>
      <c r="H83" s="31" t="n">
        <v>1127763</v>
      </c>
      <c r="I83" s="32" t="n">
        <v>4511052</v>
      </c>
      <c r="J83" s="6" t="n"/>
    </row>
    <row r="84" ht="32" customHeight="1">
      <c r="A84" s="10" t="n">
        <v>102</v>
      </c>
      <c r="B84" s="11" t="inlineStr">
        <is>
          <t>B1-EQP-011</t>
        </is>
      </c>
      <c r="C84" s="11" t="inlineStr">
        <is>
          <t>Оборудование и закупка заказчика</t>
        </is>
      </c>
      <c r="D84" s="11" t="inlineStr">
        <is>
          <t>TECHNOGYM: Urethane disk 10 кг</t>
        </is>
      </c>
      <c r="E84" s="11" t="inlineStr">
        <is>
          <t>КП Wellness Point: EUR со скидкой × 1,19 $/€ × 11 700</t>
        </is>
      </c>
      <c r="F84" s="10" t="inlineStr">
        <is>
          <t>шт</t>
        </is>
      </c>
      <c r="G84" s="33" t="n">
        <v>4</v>
      </c>
      <c r="H84" s="34" t="n">
        <v>1503684</v>
      </c>
      <c r="I84" s="35" t="n">
        <v>6014736</v>
      </c>
      <c r="J84" s="11" t="n"/>
    </row>
    <row r="85" ht="32" customHeight="1">
      <c r="A85" s="5" t="n">
        <v>103</v>
      </c>
      <c r="B85" s="6" t="inlineStr">
        <is>
          <t>B1-EQP-012</t>
        </is>
      </c>
      <c r="C85" s="6" t="inlineStr">
        <is>
          <t>Оборудование и закупка заказчика</t>
        </is>
      </c>
      <c r="D85" s="6" t="inlineStr">
        <is>
          <t>TECHNOGYM: Urethane disk 20 кг</t>
        </is>
      </c>
      <c r="E85" s="6" t="inlineStr">
        <is>
          <t>КП Wellness Point: EUR со скидкой × 1,19 $/€ × 11 700</t>
        </is>
      </c>
      <c r="F85" s="5" t="inlineStr">
        <is>
          <t>шт</t>
        </is>
      </c>
      <c r="G85" s="30" t="n">
        <v>4</v>
      </c>
      <c r="H85" s="31" t="n">
        <v>2380833</v>
      </c>
      <c r="I85" s="32" t="n">
        <v>9523332</v>
      </c>
      <c r="J85" s="6" t="inlineStr">
        <is>
          <t>суммарно блинов 145 кг</t>
        </is>
      </c>
    </row>
    <row r="86" ht="32" customHeight="1">
      <c r="A86" s="10" t="n">
        <v>104</v>
      </c>
      <c r="B86" s="11" t="inlineStr">
        <is>
          <t>B1-EQP-013</t>
        </is>
      </c>
      <c r="C86" s="11" t="inlineStr">
        <is>
          <t>Оборудование и закупка заказчика</t>
        </is>
      </c>
      <c r="D86" s="11" t="inlineStr">
        <is>
          <t>TECHNOGYM: INSTALLATION — сборка и пусконаладка</t>
        </is>
      </c>
      <c r="E86" s="11" t="inlineStr">
        <is>
          <t>КП Wellness Point: EUR со скидкой × 1,19 $/€ × 11 700</t>
        </is>
      </c>
      <c r="F86" s="10" t="inlineStr">
        <is>
          <t>усл</t>
        </is>
      </c>
      <c r="G86" s="33" t="n">
        <v>1</v>
      </c>
      <c r="H86" s="34" t="n">
        <v>13672386</v>
      </c>
      <c r="I86" s="35" t="n">
        <v>13672386</v>
      </c>
      <c r="J86" s="11" t="inlineStr">
        <is>
          <t>скидка не применяется; посчитано под Ташкент</t>
        </is>
      </c>
    </row>
    <row r="87" ht="32" customHeight="1">
      <c r="A87" s="5" t="n">
        <v>105</v>
      </c>
      <c r="B87" s="6" t="inlineStr">
        <is>
          <t>B1-EQP-014</t>
        </is>
      </c>
      <c r="C87" s="6" t="inlineStr">
        <is>
          <t>Оборудование и закупка заказчика</t>
        </is>
      </c>
      <c r="D87" s="6" t="inlineStr">
        <is>
          <t>HOIST: Жим от груди вверх Hoist RPL-5303 (нагрузка блинами)</t>
        </is>
      </c>
      <c r="E87" s="6" t="inlineStr">
        <is>
          <t>КП MFITNESS: 5 540 $ × 11 700</t>
        </is>
      </c>
      <c r="F87" s="5" t="inlineStr">
        <is>
          <t>шт</t>
        </is>
      </c>
      <c r="G87" s="30" t="n">
        <v>1</v>
      </c>
      <c r="H87" s="31" t="n">
        <v>64818000</v>
      </c>
      <c r="I87" s="32" t="n">
        <v>64818000</v>
      </c>
      <c r="J87" s="6" t="inlineStr">
        <is>
          <t>Дублирует MNFCNN0CHDITAN10 из КП-1 — проверить</t>
        </is>
      </c>
    </row>
    <row r="88" ht="18" customHeight="1">
      <c r="A88" s="10" t="n">
        <v>106</v>
      </c>
      <c r="B88" s="11" t="inlineStr">
        <is>
          <t>B1-EQP-015</t>
        </is>
      </c>
      <c r="C88" s="11" t="inlineStr">
        <is>
          <t>Оборудование и закупка заказчика</t>
        </is>
      </c>
      <c r="D88" s="11" t="inlineStr">
        <is>
          <t>HOIST: Жим от груди вниз Hoist RPL-5305</t>
        </is>
      </c>
      <c r="E88" s="11" t="inlineStr">
        <is>
          <t>КП MFITNESS: 5 540 $ × 11 700</t>
        </is>
      </c>
      <c r="F88" s="10" t="inlineStr">
        <is>
          <t>шт</t>
        </is>
      </c>
      <c r="G88" s="33" t="n">
        <v>1</v>
      </c>
      <c r="H88" s="34" t="n">
        <v>64818000</v>
      </c>
      <c r="I88" s="35" t="n">
        <v>64818000</v>
      </c>
      <c r="J88" s="11" t="inlineStr">
        <is>
          <t>блины к нему не заложены</t>
        </is>
      </c>
    </row>
    <row r="89" ht="18" customHeight="1">
      <c r="A89" s="5" t="n">
        <v>107</v>
      </c>
      <c r="B89" s="6" t="inlineStr">
        <is>
          <t>B1-EQP-016</t>
        </is>
      </c>
      <c r="C89" s="6" t="inlineStr">
        <is>
          <t>Оборудование и закупка заказчика</t>
        </is>
      </c>
      <c r="D89" s="6" t="inlineStr">
        <is>
          <t>HOIST: Гребная тяга сидя Hoist RPL-5203</t>
        </is>
      </c>
      <c r="E89" s="6" t="inlineStr">
        <is>
          <t>КП MFITNESS: 5 540 $ × 11 700</t>
        </is>
      </c>
      <c r="F89" s="5" t="inlineStr">
        <is>
          <t>шт</t>
        </is>
      </c>
      <c r="G89" s="30" t="n">
        <v>1</v>
      </c>
      <c r="H89" s="31" t="n">
        <v>64818000</v>
      </c>
      <c r="I89" s="32" t="n">
        <v>64818000</v>
      </c>
      <c r="J89" s="6" t="inlineStr">
        <is>
          <t>блины к нему не заложены</t>
        </is>
      </c>
    </row>
    <row r="90" ht="18" customHeight="1">
      <c r="A90" s="40" t="inlineStr">
        <is>
          <t>Итого · Оборудование и закупка заказчика</t>
        </is>
      </c>
      <c r="B90" s="41" t="n"/>
      <c r="C90" s="41" t="n"/>
      <c r="D90" s="41" t="n"/>
      <c r="E90" s="41" t="n"/>
      <c r="F90" s="41" t="n"/>
      <c r="G90" s="41" t="n"/>
      <c r="H90" s="41" t="n"/>
      <c r="I90" s="42">
        <f>SUM(I74:I89)</f>
        <v/>
      </c>
      <c r="J90" s="41" t="n"/>
    </row>
    <row r="92" ht="24" customHeight="1">
      <c r="A92" s="15" t="inlineStr">
        <is>
          <t>ИТОГО точные  ·  73 поз.</t>
        </is>
      </c>
      <c r="B92" s="37" t="n"/>
      <c r="C92" s="37" t="n"/>
      <c r="D92" s="37" t="n"/>
      <c r="E92" s="37" t="n"/>
      <c r="F92" s="37" t="n"/>
      <c r="G92" s="37" t="n"/>
      <c r="H92" s="37" t="n"/>
      <c r="I92" s="18">
        <f>I14+I34+I46+I62+I72+I90</f>
        <v/>
      </c>
      <c r="J92" s="37" t="n"/>
    </row>
  </sheetData>
  <mergeCells count="16">
    <mergeCell ref="A47:J47"/>
    <mergeCell ref="A1:J1"/>
    <mergeCell ref="A62:H62"/>
    <mergeCell ref="A92:H92"/>
    <mergeCell ref="A6:J6"/>
    <mergeCell ref="A72:H72"/>
    <mergeCell ref="A3:J3"/>
    <mergeCell ref="A15:J15"/>
    <mergeCell ref="A35:J35"/>
    <mergeCell ref="A14:H14"/>
    <mergeCell ref="A90:H90"/>
    <mergeCell ref="A73:J73"/>
    <mergeCell ref="A2:J2"/>
    <mergeCell ref="A46:H46"/>
    <mergeCell ref="A63:J63"/>
    <mergeCell ref="A34:H34"/>
  </mergeCells>
  <pageMargins left="0.4" right="0.4" top="0.5" bottom="0.5" header="0.2" footer="0.2"/>
  <pageSetup orientation="landscape" paperSize="9" fitToHeight="0" fitToWidth="1"/>
  <headerFooter>
    <oddHeader>&amp;LTemiroff Edifice · точные цены&amp;CТочные цены</oddHeader>
    <oddFooter>&amp;RСрез сметы 04.10.2026  |  стр.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10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4" customHeight="1">
      <c r="A1" s="27" t="inlineStr">
        <is>
          <t>Точные цены</t>
        </is>
      </c>
    </row>
    <row r="2" ht="18" customHeight="1">
      <c r="A2" s="28" t="inlineStr">
        <is>
          <t>1 этаж · Socials · 0 м²</t>
        </is>
      </c>
    </row>
    <row r="3" ht="32" customHeight="1">
      <c r="A3" s="29" t="inlineStr">
        <is>
          <t>Только точные цены (зелёные на сайте). Примерные позиции в этот лист не входят. Срез сметы 04.10.2026. 1 этаж — Socials_uz. Отделка и мебель у арендатора, в смету БЦ не входят.</t>
        </is>
      </c>
    </row>
    <row r="4" ht="8" customHeight="1"/>
    <row r="5" ht="22" customHeight="1">
      <c r="A5" s="4" t="inlineStr">
        <is>
          <t>№</t>
        </is>
      </c>
      <c r="B5" s="4" t="inlineStr">
        <is>
          <t>Код</t>
        </is>
      </c>
      <c r="C5" s="4" t="inlineStr">
        <is>
          <t>Раздел</t>
        </is>
      </c>
      <c r="D5" s="4" t="inlineStr">
        <is>
          <t>Наименование</t>
        </is>
      </c>
      <c r="E5" s="4" t="inlineStr">
        <is>
          <t>Спецификация</t>
        </is>
      </c>
      <c r="F5" s="4" t="inlineStr">
        <is>
          <t>Ед.</t>
        </is>
      </c>
      <c r="G5" s="4" t="inlineStr">
        <is>
          <t>Кол-во</t>
        </is>
      </c>
      <c r="H5" s="4" t="inlineStr">
        <is>
          <t>Цена, сум</t>
        </is>
      </c>
      <c r="I5" s="4" t="inlineStr">
        <is>
          <t>Сумма, сум</t>
        </is>
      </c>
      <c r="J5" s="4" t="inlineStr">
        <is>
          <t>Примечание</t>
        </is>
      </c>
    </row>
    <row r="6" ht="24" customHeight="1">
      <c r="A6" s="28" t="inlineStr">
        <is>
          <t>Точных цен по этому этажу в смете БЦ нет.</t>
        </is>
      </c>
    </row>
  </sheetData>
  <autoFilter ref="A5:J5"/>
  <mergeCells count="4">
    <mergeCell ref="A6:J6"/>
    <mergeCell ref="A1:J1"/>
    <mergeCell ref="A3:J3"/>
    <mergeCell ref="A2:J2"/>
  </mergeCells>
  <pageMargins left="0.4" right="0.4" top="0.5" bottom="0.5" header="0.2" footer="0.2"/>
  <pageSetup orientation="landscape" paperSize="9" fitToHeight="0" fitToWidth="1"/>
  <headerFooter>
    <oddHeader>&amp;LTemiroff Edifice · точные цены</oddHeader>
    <oddFooter>&amp;RСрез сметы 04.10.2026  |  стр.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68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10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4" customHeight="1">
      <c r="A1" s="27" t="inlineStr">
        <is>
          <t>Точные цены</t>
        </is>
      </c>
    </row>
    <row r="2" ht="18" customHeight="1">
      <c r="A2" s="28" t="inlineStr">
        <is>
          <t>2 этаж · Студия · 200 м²</t>
        </is>
      </c>
    </row>
    <row r="3" ht="32" customHeight="1">
      <c r="A3" s="29" t="inlineStr">
        <is>
          <t>Только точные цены (зелёные на сайте). Примерные позиции в этот лист не входят. Срез сметы 04.10.2026.</t>
        </is>
      </c>
    </row>
    <row r="4" ht="8" customHeight="1"/>
    <row r="5" ht="22" customHeight="1">
      <c r="A5" s="4" t="inlineStr">
        <is>
          <t>№</t>
        </is>
      </c>
      <c r="B5" s="4" t="inlineStr">
        <is>
          <t>Код</t>
        </is>
      </c>
      <c r="C5" s="4" t="inlineStr">
        <is>
          <t>Раздел</t>
        </is>
      </c>
      <c r="D5" s="4" t="inlineStr">
        <is>
          <t>Наименование</t>
        </is>
      </c>
      <c r="E5" s="4" t="inlineStr">
        <is>
          <t>Спецификация</t>
        </is>
      </c>
      <c r="F5" s="4" t="inlineStr">
        <is>
          <t>Ед.</t>
        </is>
      </c>
      <c r="G5" s="4" t="inlineStr">
        <is>
          <t>Кол-во</t>
        </is>
      </c>
      <c r="H5" s="4" t="inlineStr">
        <is>
          <t>Цена, сум</t>
        </is>
      </c>
      <c r="I5" s="4" t="inlineStr">
        <is>
          <t>Сумма, сум</t>
        </is>
      </c>
      <c r="J5" s="4" t="inlineStr">
        <is>
          <t>Примечание</t>
        </is>
      </c>
    </row>
    <row r="6" ht="20" customHeight="1">
      <c r="A6" s="38" t="inlineStr">
        <is>
          <t>Перегородки, двери, остекление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</row>
    <row r="7" ht="32" customHeight="1">
      <c r="A7" s="5" t="n">
        <v>115</v>
      </c>
      <c r="B7" s="6" t="inlineStr">
        <is>
          <t>L2-PER-008</t>
        </is>
      </c>
      <c r="C7" s="6" t="inlineStr">
        <is>
          <t>Перегородки, двери, остекление</t>
        </is>
      </c>
      <c r="D7" s="6" t="inlineStr">
        <is>
          <t>Дверь в кабинет топ-мастера 1 (пом. 4) (800 × 2200)</t>
        </is>
      </c>
      <c r="E7" s="6" t="inlineStr">
        <is>
          <t>из исходной сметы</t>
        </is>
      </c>
      <c r="F7" s="5" t="inlineStr">
        <is>
          <t>шт</t>
        </is>
      </c>
      <c r="G7" s="30" t="n">
        <v>1</v>
      </c>
      <c r="H7" s="31" t="n">
        <v>7605000</v>
      </c>
      <c r="I7" s="32" t="n">
        <v>7605000</v>
      </c>
      <c r="J7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8" ht="32" customHeight="1">
      <c r="A8" s="10" t="n">
        <v>116</v>
      </c>
      <c r="B8" s="11" t="inlineStr">
        <is>
          <t>L2-PER-009</t>
        </is>
      </c>
      <c r="C8" s="11" t="inlineStr">
        <is>
          <t>Перегородки, двери, остекление</t>
        </is>
      </c>
      <c r="D8" s="11" t="inlineStr">
        <is>
          <t>Дверь в кабинет топ-мастера 2 (пом. 5) (800 × 2200)</t>
        </is>
      </c>
      <c r="E8" s="11" t="inlineStr">
        <is>
          <t>из исходной сметы</t>
        </is>
      </c>
      <c r="F8" s="10" t="inlineStr">
        <is>
          <t>шт</t>
        </is>
      </c>
      <c r="G8" s="33" t="n">
        <v>1</v>
      </c>
      <c r="H8" s="34" t="n">
        <v>7605000</v>
      </c>
      <c r="I8" s="35" t="n">
        <v>7605000</v>
      </c>
      <c r="J8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9" ht="32" customHeight="1">
      <c r="A9" s="5" t="n">
        <v>117</v>
      </c>
      <c r="B9" s="6" t="inlineStr">
        <is>
          <t>L2-PER-010</t>
        </is>
      </c>
      <c r="C9" s="6" t="inlineStr">
        <is>
          <t>Перегородки, двери, остекление</t>
        </is>
      </c>
      <c r="D9" s="6" t="inlineStr">
        <is>
          <t>Дверь в зону отдыха / мини-кухню (пом. 6) (800 × 2200)</t>
        </is>
      </c>
      <c r="E9" s="6" t="inlineStr">
        <is>
          <t>из исходной сметы</t>
        </is>
      </c>
      <c r="F9" s="5" t="inlineStr">
        <is>
          <t>шт</t>
        </is>
      </c>
      <c r="G9" s="30" t="n">
        <v>1</v>
      </c>
      <c r="H9" s="31" t="n">
        <v>7605000</v>
      </c>
      <c r="I9" s="32" t="n">
        <v>7605000</v>
      </c>
      <c r="J9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10" ht="32" customHeight="1">
      <c r="A10" s="10" t="n">
        <v>118</v>
      </c>
      <c r="B10" s="11" t="inlineStr">
        <is>
          <t>L2-PER-011</t>
        </is>
      </c>
      <c r="C10" s="11" t="inlineStr">
        <is>
          <t>Перегородки, двери, остекление</t>
        </is>
      </c>
      <c r="D10" s="11" t="inlineStr">
        <is>
          <t>Дверь в стерилизацию (пом. 7) (800 × 2200)</t>
        </is>
      </c>
      <c r="E10" s="11" t="inlineStr">
        <is>
          <t>из исходной сметы</t>
        </is>
      </c>
      <c r="F10" s="10" t="inlineStr">
        <is>
          <t>шт</t>
        </is>
      </c>
      <c r="G10" s="33" t="n">
        <v>1</v>
      </c>
      <c r="H10" s="34" t="n">
        <v>7605000</v>
      </c>
      <c r="I10" s="35" t="n">
        <v>7605000</v>
      </c>
      <c r="J10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11" ht="32" customHeight="1">
      <c r="A11" s="5" t="n">
        <v>119</v>
      </c>
      <c r="B11" s="6" t="inlineStr">
        <is>
          <t>L2-PER-012</t>
        </is>
      </c>
      <c r="C11" s="6" t="inlineStr">
        <is>
          <t>Перегородки, двери, остекление</t>
        </is>
      </c>
      <c r="D11" s="6" t="inlineStr">
        <is>
          <t>Дверь в умывальную зону С/У (пом. 8) (800 × 2200)</t>
        </is>
      </c>
      <c r="E11" s="6" t="inlineStr">
        <is>
          <t>из исходной сметы</t>
        </is>
      </c>
      <c r="F11" s="5" t="inlineStr">
        <is>
          <t>шт</t>
        </is>
      </c>
      <c r="G11" s="30" t="n">
        <v>1</v>
      </c>
      <c r="H11" s="31" t="n">
        <v>7605000</v>
      </c>
      <c r="I11" s="32" t="n">
        <v>7605000</v>
      </c>
      <c r="J11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12" ht="32" customHeight="1">
      <c r="A12" s="10" t="n">
        <v>120</v>
      </c>
      <c r="B12" s="11" t="inlineStr">
        <is>
          <t>L2-PER-013</t>
        </is>
      </c>
      <c r="C12" s="11" t="inlineStr">
        <is>
          <t>Перегородки, двери, остекление</t>
        </is>
      </c>
      <c r="D12" s="11" t="inlineStr">
        <is>
          <t>Дверь в туалетную кабину С/У (пом. 8) (800 × 2200)</t>
        </is>
      </c>
      <c r="E12" s="11" t="inlineStr">
        <is>
          <t>из исходной сметы</t>
        </is>
      </c>
      <c r="F12" s="10" t="inlineStr">
        <is>
          <t>шт</t>
        </is>
      </c>
      <c r="G12" s="33" t="n">
        <v>1</v>
      </c>
      <c r="H12" s="34" t="n">
        <v>7605000</v>
      </c>
      <c r="I12" s="35" t="n">
        <v>7605000</v>
      </c>
      <c r="J12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13" ht="32" customHeight="1">
      <c r="A13" s="5" t="n">
        <v>121</v>
      </c>
      <c r="B13" s="6" t="inlineStr">
        <is>
          <t>L2-PER-014</t>
        </is>
      </c>
      <c r="C13" s="6" t="inlineStr">
        <is>
          <t>Перегородки, двери, остекление</t>
        </is>
      </c>
      <c r="D13" s="6" t="inlineStr">
        <is>
          <t>Дверь в Smoking room (пом. 9) (800 × 2200)</t>
        </is>
      </c>
      <c r="E13" s="6" t="inlineStr">
        <is>
          <t>из исходной сметы</t>
        </is>
      </c>
      <c r="F13" s="5" t="inlineStr">
        <is>
          <t>шт</t>
        </is>
      </c>
      <c r="G13" s="30" t="n">
        <v>1</v>
      </c>
      <c r="H13" s="31" t="n">
        <v>7605000</v>
      </c>
      <c r="I13" s="32" t="n">
        <v>7605000</v>
      </c>
      <c r="J13" s="6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14" ht="32" customHeight="1">
      <c r="A14" s="10" t="n">
        <v>122</v>
      </c>
      <c r="B14" s="11" t="inlineStr">
        <is>
          <t>L2-PER-015</t>
        </is>
      </c>
      <c r="C14" s="11" t="inlineStr">
        <is>
          <t>Перегородки, двери, остекление</t>
        </is>
      </c>
      <c r="D14" s="11" t="inlineStr">
        <is>
          <t>Дверь в склад (пом. 10) (800 × 2200)</t>
        </is>
      </c>
      <c r="E14" s="11" t="inlineStr">
        <is>
          <t>из исходной сметы</t>
        </is>
      </c>
      <c r="F14" s="10" t="inlineStr">
        <is>
          <t>шт</t>
        </is>
      </c>
      <c r="G14" s="33" t="n">
        <v>1</v>
      </c>
      <c r="H14" s="34" t="n">
        <v>7605000</v>
      </c>
      <c r="I14" s="35" t="n">
        <v>7605000</v>
      </c>
      <c r="J14" s="11" t="inlineStr">
        <is>
          <t>Состав подтверждён. Тип полотна, отделку и фурнитуру задаём сами. Цена 650 $ × курс 11 700 (как на фитнесе -1 эт.). Раньше стояло 650 в колонке «сум»</t>
        </is>
      </c>
    </row>
    <row r="15" ht="18" customHeight="1">
      <c r="A15" s="40" t="inlineStr">
        <is>
          <t>Итого · Перегородки, двери, остекление</t>
        </is>
      </c>
      <c r="B15" s="41" t="n"/>
      <c r="C15" s="41" t="n"/>
      <c r="D15" s="41" t="n"/>
      <c r="E15" s="41" t="n"/>
      <c r="F15" s="41" t="n"/>
      <c r="G15" s="41" t="n"/>
      <c r="H15" s="41" t="n"/>
      <c r="I15" s="42">
        <f>SUM(I7:I14)</f>
        <v/>
      </c>
      <c r="J15" s="41" t="n"/>
    </row>
    <row r="16" ht="20" customHeight="1">
      <c r="A16" s="38" t="inlineStr">
        <is>
          <t>Сантехника</t>
        </is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</row>
    <row r="17" ht="32" customHeight="1">
      <c r="A17" s="5" t="n">
        <v>127</v>
      </c>
      <c r="B17" s="6" t="inlineStr">
        <is>
          <t>L2-SAN-001</t>
        </is>
      </c>
      <c r="C17" s="6" t="inlineStr">
        <is>
          <t>Сантехника</t>
        </is>
      </c>
      <c r="D17" s="6" t="inlineStr">
        <is>
          <t>Кухонный смеситель</t>
        </is>
      </c>
      <c r="E17" s="6" t="inlineStr">
        <is>
          <t>из исходной сметы</t>
        </is>
      </c>
      <c r="F17" s="5" t="inlineStr">
        <is>
          <t>шт</t>
        </is>
      </c>
      <c r="G17" s="30" t="n">
        <v>2</v>
      </c>
      <c r="H17" s="31" t="n">
        <v>1200000</v>
      </c>
      <c r="I17" s="32" t="n">
        <v>2400000</v>
      </c>
      <c r="J17" s="6" t="inlineStr">
        <is>
          <t>1ГВС+1ХВС h=600, слив h=500. АНАЛОГ: цена с фитнеса -1 эт. С-13 «смеситель для раковины» — кухонный может быть дороже, проверить</t>
        </is>
      </c>
    </row>
    <row r="18" ht="32" customHeight="1">
      <c r="A18" s="10" t="n">
        <v>128</v>
      </c>
      <c r="B18" s="11" t="inlineStr">
        <is>
          <t>L2-SAN-002</t>
        </is>
      </c>
      <c r="C18" s="11" t="inlineStr">
        <is>
          <t>Сантехника</t>
        </is>
      </c>
      <c r="D18" s="11" t="inlineStr">
        <is>
          <t>Накладной смеситель 1</t>
        </is>
      </c>
      <c r="E18" s="11" t="inlineStr">
        <is>
          <t>из исходной сметы</t>
        </is>
      </c>
      <c r="F18" s="10" t="inlineStr">
        <is>
          <t>шт</t>
        </is>
      </c>
      <c r="G18" s="33" t="n">
        <v>4</v>
      </c>
      <c r="H18" s="34" t="n">
        <v>1200000</v>
      </c>
      <c r="I18" s="35" t="n">
        <v>4800000</v>
      </c>
      <c r="J18" s="11" t="inlineStr">
        <is>
          <t>Слив в ГКЛ-короб / h=500. АНАЛОГ: цена с фитнеса -1 эт. С-13 «смеситель для раковины»</t>
        </is>
      </c>
    </row>
    <row r="19" ht="32" customHeight="1">
      <c r="A19" s="5" t="n">
        <v>129</v>
      </c>
      <c r="B19" s="6" t="inlineStr">
        <is>
          <t>L2-SAN-003</t>
        </is>
      </c>
      <c r="C19" s="6" t="inlineStr">
        <is>
          <t>Сантехника</t>
        </is>
      </c>
      <c r="D19" s="6" t="inlineStr">
        <is>
          <t>Накладной смеситель 2</t>
        </is>
      </c>
      <c r="E19" s="6" t="inlineStr">
        <is>
          <t>из исходной сметы</t>
        </is>
      </c>
      <c r="F19" s="5" t="inlineStr">
        <is>
          <t>шт</t>
        </is>
      </c>
      <c r="G19" s="30" t="n">
        <v>4</v>
      </c>
      <c r="H19" s="31" t="n">
        <v>1200000</v>
      </c>
      <c r="I19" s="32" t="n">
        <v>4800000</v>
      </c>
      <c r="J19" s="6" t="inlineStr">
        <is>
          <t>1ГВС+1ХВС h=600, слив h=500. АНАЛОГ: цена с фитнеса -1 эт. С-13 «смеситель для раковины»</t>
        </is>
      </c>
    </row>
    <row r="20" ht="32" customHeight="1">
      <c r="A20" s="10" t="n">
        <v>130</v>
      </c>
      <c r="B20" s="11" t="inlineStr">
        <is>
          <t>L2-SAN-004</t>
        </is>
      </c>
      <c r="C20" s="11" t="inlineStr">
        <is>
          <t>Сантехника</t>
        </is>
      </c>
      <c r="D20" s="11" t="inlineStr">
        <is>
          <t>Накладной смеситель 3</t>
        </is>
      </c>
      <c r="E20" s="11" t="inlineStr">
        <is>
          <t>из исходной сметы</t>
        </is>
      </c>
      <c r="F20" s="10" t="inlineStr">
        <is>
          <t>шт</t>
        </is>
      </c>
      <c r="G20" s="33" t="n">
        <v>2</v>
      </c>
      <c r="H20" s="34" t="n">
        <v>1200000</v>
      </c>
      <c r="I20" s="35" t="n">
        <v>2400000</v>
      </c>
      <c r="J20" s="11" t="inlineStr">
        <is>
          <t>Слив в ГКЛ-короб. АНАЛОГ: цена с фитнеса -1 эт. С-13 «смеситель для раковины»</t>
        </is>
      </c>
    </row>
    <row r="21" ht="32" customHeight="1">
      <c r="A21" s="5" t="n">
        <v>135</v>
      </c>
      <c r="B21" s="6" t="inlineStr">
        <is>
          <t>L2-SAN-009</t>
        </is>
      </c>
      <c r="C21" s="6" t="inlineStr">
        <is>
          <t>Сантехника</t>
        </is>
      </c>
      <c r="D21" s="6" t="inlineStr">
        <is>
          <t>Раковина, встроенная в ГКЛ-короб (кабинеты) (350 × 300)</t>
        </is>
      </c>
      <c r="E21" s="6" t="inlineStr">
        <is>
          <t>из исходной сметы</t>
        </is>
      </c>
      <c r="F21" s="5" t="inlineStr">
        <is>
          <t>шт</t>
        </is>
      </c>
      <c r="G21" s="30" t="n">
        <v>2</v>
      </c>
      <c r="H21" s="31" t="n">
        <v>1500000</v>
      </c>
      <c r="I21" s="32" t="n">
        <v>3000000</v>
      </c>
      <c r="J21" s="6" t="inlineStr">
        <is>
          <t>Пом. 4 и 5, в поддоне. АНАЛОГ: цена с фитнеса -1 эт. С-2 «раковина встраиваемая» (там 3 шт, габарит не указан)</t>
        </is>
      </c>
    </row>
    <row r="22" ht="18" customHeight="1">
      <c r="A22" s="10" t="n">
        <v>136</v>
      </c>
      <c r="B22" s="11" t="inlineStr">
        <is>
          <t>L2-SAN-010</t>
        </is>
      </c>
      <c r="C22" s="11" t="inlineStr">
        <is>
          <t>Сантехника</t>
        </is>
      </c>
      <c r="D22" s="11" t="inlineStr">
        <is>
          <t>Гигиенический душ</t>
        </is>
      </c>
      <c r="E22" s="11" t="inlineStr">
        <is>
          <t>из исходной сметы</t>
        </is>
      </c>
      <c r="F22" s="10" t="inlineStr">
        <is>
          <t>шт</t>
        </is>
      </c>
      <c r="G22" s="33" t="n">
        <v>1</v>
      </c>
      <c r="H22" s="34" t="n">
        <v>700000</v>
      </c>
      <c r="I22" s="35" t="n">
        <v>700000</v>
      </c>
      <c r="J22" s="11" t="inlineStr">
        <is>
          <t>h=700. Цена с фитнеса -1 эт., С-5</t>
        </is>
      </c>
    </row>
    <row r="23" ht="18" customHeight="1">
      <c r="A23" s="5" t="n">
        <v>137</v>
      </c>
      <c r="B23" s="6" t="inlineStr">
        <is>
          <t>L2-SAN-011</t>
        </is>
      </c>
      <c r="C23" s="6" t="inlineStr">
        <is>
          <t>Сантехника</t>
        </is>
      </c>
      <c r="D23" s="6" t="inlineStr">
        <is>
          <t>Подвесной унитаз</t>
        </is>
      </c>
      <c r="E23" s="6" t="inlineStr">
        <is>
          <t>из исходной сметы</t>
        </is>
      </c>
      <c r="F23" s="5" t="inlineStr">
        <is>
          <t>шт</t>
        </is>
      </c>
      <c r="G23" s="30" t="n">
        <v>1</v>
      </c>
      <c r="H23" s="31" t="n">
        <v>3000000</v>
      </c>
      <c r="I23" s="32" t="n">
        <v>3000000</v>
      </c>
      <c r="J23" s="6" t="inlineStr">
        <is>
          <t>Цена с фитнеса -1 эт., С-3</t>
        </is>
      </c>
    </row>
    <row r="24" ht="32" customHeight="1">
      <c r="A24" s="10" t="n">
        <v>138</v>
      </c>
      <c r="B24" s="11" t="inlineStr">
        <is>
          <t>L2-SAN-012</t>
        </is>
      </c>
      <c r="C24" s="11" t="inlineStr">
        <is>
          <t>Сантехника</t>
        </is>
      </c>
      <c r="D24" s="11" t="inlineStr">
        <is>
          <t>Инсталляция для унитаза</t>
        </is>
      </c>
      <c r="E24" s="11" t="inlineStr">
        <is>
          <t>из исходной сметы</t>
        </is>
      </c>
      <c r="F24" s="10" t="inlineStr">
        <is>
          <t>шт</t>
        </is>
      </c>
      <c r="G24" s="33" t="n">
        <v>1</v>
      </c>
      <c r="H24" s="34" t="n">
        <v>3250000</v>
      </c>
      <c r="I24" s="35" t="n">
        <v>3250000</v>
      </c>
      <c r="J24" s="11" t="inlineStr">
        <is>
          <t>Обшивка ГКЛ 2 слоя, h=1200. Цена с фитнеса -1 эт., С-6</t>
        </is>
      </c>
    </row>
    <row r="25" ht="32" customHeight="1">
      <c r="A25" s="5" t="n">
        <v>139</v>
      </c>
      <c r="B25" s="6" t="inlineStr">
        <is>
          <t>L2-SAN-013</t>
        </is>
      </c>
      <c r="C25" s="6" t="inlineStr">
        <is>
          <t>Сантехника</t>
        </is>
      </c>
      <c r="D25" s="6" t="inlineStr">
        <is>
          <t>Кнопка слива</t>
        </is>
      </c>
      <c r="E25" s="6" t="inlineStr">
        <is>
          <t>из исходной сметы</t>
        </is>
      </c>
      <c r="F25" s="5" t="inlineStr">
        <is>
          <t>шт</t>
        </is>
      </c>
      <c r="G25" s="30" t="n">
        <v>1</v>
      </c>
      <c r="H25" s="31" t="n">
        <v>650000</v>
      </c>
      <c r="I25" s="32" t="n">
        <v>650000</v>
      </c>
      <c r="J25" s="6" t="inlineStr">
        <is>
          <t>Цена с фитнеса -1 эт., С-16 (клавиша чёрная)</t>
        </is>
      </c>
    </row>
    <row r="26" ht="18" customHeight="1">
      <c r="A26" s="40" t="inlineStr">
        <is>
          <t>Итого · Сантехника</t>
        </is>
      </c>
      <c r="B26" s="41" t="n"/>
      <c r="C26" s="41" t="n"/>
      <c r="D26" s="41" t="n"/>
      <c r="E26" s="41" t="n"/>
      <c r="F26" s="41" t="n"/>
      <c r="G26" s="41" t="n"/>
      <c r="H26" s="41" t="n"/>
      <c r="I26" s="42">
        <f>SUM(I17:I25)</f>
        <v/>
      </c>
      <c r="J26" s="41" t="n"/>
    </row>
    <row r="27" ht="20" customHeight="1">
      <c r="A27" s="38" t="inlineStr">
        <is>
          <t>Электрика</t>
        </is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</row>
    <row r="28" ht="18" customHeight="1">
      <c r="A28" s="10" t="n">
        <v>140</v>
      </c>
      <c r="B28" s="11" t="inlineStr">
        <is>
          <t>L2-ELE-001</t>
        </is>
      </c>
      <c r="C28" s="11" t="inlineStr">
        <is>
          <t>Электрика</t>
        </is>
      </c>
      <c r="D28" s="11" t="inlineStr">
        <is>
          <t>Одноклавишный выключатель (чёрный)</t>
        </is>
      </c>
      <c r="E28" s="11" t="inlineStr">
        <is>
          <t>из исходной сметы</t>
        </is>
      </c>
      <c r="F28" s="10" t="inlineStr">
        <is>
          <t>шт</t>
        </is>
      </c>
      <c r="G28" s="33" t="n">
        <v>8</v>
      </c>
      <c r="H28" s="34" t="n">
        <v>20400</v>
      </c>
      <c r="I28" s="35" t="n">
        <v>163200</v>
      </c>
      <c r="J28" s="11" t="inlineStr">
        <is>
          <t>Цена по КП №1409-1 от 14.09.2026</t>
        </is>
      </c>
    </row>
    <row r="29" ht="32" customHeight="1">
      <c r="A29" s="5" t="n">
        <v>141</v>
      </c>
      <c r="B29" s="6" t="inlineStr">
        <is>
          <t>L2-ELE-002</t>
        </is>
      </c>
      <c r="C29" s="6" t="inlineStr">
        <is>
          <t>Электрика</t>
        </is>
      </c>
      <c r="D29" s="6" t="inlineStr">
        <is>
          <t>Двухклавишный выключатель (чёрный)</t>
        </is>
      </c>
      <c r="E29" s="6" t="inlineStr">
        <is>
          <t>из исходной сметы</t>
        </is>
      </c>
      <c r="F29" s="5" t="inlineStr">
        <is>
          <t>шт</t>
        </is>
      </c>
      <c r="G29" s="30" t="n">
        <v>30</v>
      </c>
      <c r="H29" s="31" t="n">
        <v>23100</v>
      </c>
      <c r="I29" s="32" t="n">
        <v>693000</v>
      </c>
      <c r="J29" s="6" t="inlineStr">
        <is>
          <t>Две группы света на помещение (л.14). Цена по КП</t>
        </is>
      </c>
    </row>
    <row r="30" ht="32" customHeight="1">
      <c r="A30" s="10" t="n">
        <v>142</v>
      </c>
      <c r="B30" s="11" t="inlineStr">
        <is>
          <t>L2-ELE-003</t>
        </is>
      </c>
      <c r="C30" s="11" t="inlineStr">
        <is>
          <t>Электрика</t>
        </is>
      </c>
      <c r="D30" s="11" t="inlineStr">
        <is>
          <t>Розетка 220 В с заземлением (чёрная)</t>
        </is>
      </c>
      <c r="E30" s="11" t="inlineStr">
        <is>
          <t>из исходной сметы</t>
        </is>
      </c>
      <c r="F30" s="10" t="inlineStr">
        <is>
          <t>шт</t>
        </is>
      </c>
      <c r="G30" s="33" t="n">
        <v>105</v>
      </c>
      <c r="H30" s="34" t="n">
        <v>20400</v>
      </c>
      <c r="I30" s="35" t="n">
        <v>2142000</v>
      </c>
      <c r="J30" s="11" t="inlineStr">
        <is>
          <t>Без розеток и UTP во внутрипольных блоках. Цена по КП</t>
        </is>
      </c>
    </row>
    <row r="31" ht="18" customHeight="1">
      <c r="A31" s="5" t="n">
        <v>143</v>
      </c>
      <c r="B31" s="6" t="inlineStr">
        <is>
          <t>L2-ELE-004</t>
        </is>
      </c>
      <c r="C31" s="6" t="inlineStr">
        <is>
          <t>Электрика</t>
        </is>
      </c>
      <c r="D31" s="6" t="inlineStr">
        <is>
          <t>Рамка 1-постовая (чёрная)</t>
        </is>
      </c>
      <c r="E31" s="6" t="inlineStr">
        <is>
          <t>из исходной сметы</t>
        </is>
      </c>
      <c r="F31" s="5" t="inlineStr">
        <is>
          <t>шт</t>
        </is>
      </c>
      <c r="G31" s="30" t="n">
        <v>10</v>
      </c>
      <c r="H31" s="31" t="n">
        <v>6100</v>
      </c>
      <c r="I31" s="32" t="n">
        <v>61000</v>
      </c>
      <c r="J31" s="6" t="inlineStr">
        <is>
          <t>Цена по КП</t>
        </is>
      </c>
    </row>
    <row r="32" ht="18" customHeight="1">
      <c r="A32" s="10" t="n">
        <v>144</v>
      </c>
      <c r="B32" s="11" t="inlineStr">
        <is>
          <t>L2-ELE-005</t>
        </is>
      </c>
      <c r="C32" s="11" t="inlineStr">
        <is>
          <t>Электрика</t>
        </is>
      </c>
      <c r="D32" s="11" t="inlineStr">
        <is>
          <t>Рамка 2-постовая (чёрная)</t>
        </is>
      </c>
      <c r="E32" s="11" t="inlineStr">
        <is>
          <t>из исходной сметы</t>
        </is>
      </c>
      <c r="F32" s="10" t="inlineStr">
        <is>
          <t>шт</t>
        </is>
      </c>
      <c r="G32" s="33" t="n">
        <v>11</v>
      </c>
      <c r="H32" s="34" t="n">
        <v>16300</v>
      </c>
      <c r="I32" s="35" t="n">
        <v>179300</v>
      </c>
      <c r="J32" s="11" t="inlineStr">
        <is>
          <t>Цена по КП</t>
        </is>
      </c>
    </row>
    <row r="33" ht="18" customHeight="1">
      <c r="A33" s="5" t="n">
        <v>145</v>
      </c>
      <c r="B33" s="6" t="inlineStr">
        <is>
          <t>L2-ELE-006</t>
        </is>
      </c>
      <c r="C33" s="6" t="inlineStr">
        <is>
          <t>Электрика</t>
        </is>
      </c>
      <c r="D33" s="6" t="inlineStr">
        <is>
          <t>Рамка 3-постовая (чёрная)</t>
        </is>
      </c>
      <c r="E33" s="6" t="inlineStr">
        <is>
          <t>из исходной сметы</t>
        </is>
      </c>
      <c r="F33" s="5" t="inlineStr">
        <is>
          <t>шт</t>
        </is>
      </c>
      <c r="G33" s="30" t="n">
        <v>8</v>
      </c>
      <c r="H33" s="31" t="n">
        <v>20400</v>
      </c>
      <c r="I33" s="32" t="n">
        <v>163200</v>
      </c>
      <c r="J33" s="6" t="inlineStr">
        <is>
          <t>Цена по КП</t>
        </is>
      </c>
    </row>
    <row r="34" ht="18" customHeight="1">
      <c r="A34" s="10" t="n">
        <v>146</v>
      </c>
      <c r="B34" s="11" t="inlineStr">
        <is>
          <t>L2-ELE-007</t>
        </is>
      </c>
      <c r="C34" s="11" t="inlineStr">
        <is>
          <t>Электрика</t>
        </is>
      </c>
      <c r="D34" s="11" t="inlineStr">
        <is>
          <t>Рамка 4-постовая (чёрная)</t>
        </is>
      </c>
      <c r="E34" s="11" t="inlineStr">
        <is>
          <t>из исходной сметы</t>
        </is>
      </c>
      <c r="F34" s="10" t="inlineStr">
        <is>
          <t>шт</t>
        </is>
      </c>
      <c r="G34" s="33" t="n">
        <v>12</v>
      </c>
      <c r="H34" s="34" t="n">
        <v>25900</v>
      </c>
      <c r="I34" s="35" t="n">
        <v>310800</v>
      </c>
      <c r="J34" s="11" t="inlineStr">
        <is>
          <t>Цена по КП</t>
        </is>
      </c>
    </row>
    <row r="35" ht="18" customHeight="1">
      <c r="A35" s="5" t="n">
        <v>147</v>
      </c>
      <c r="B35" s="6" t="inlineStr">
        <is>
          <t>L2-ELE-008</t>
        </is>
      </c>
      <c r="C35" s="6" t="inlineStr">
        <is>
          <t>Электрика</t>
        </is>
      </c>
      <c r="D35" s="6" t="inlineStr">
        <is>
          <t>Рамка 5-постовая (чёрная)</t>
        </is>
      </c>
      <c r="E35" s="6" t="inlineStr">
        <is>
          <t>из исходной сметы</t>
        </is>
      </c>
      <c r="F35" s="5" t="inlineStr">
        <is>
          <t>шт</t>
        </is>
      </c>
      <c r="G35" s="30" t="n">
        <v>4</v>
      </c>
      <c r="H35" s="31" t="n">
        <v>34100</v>
      </c>
      <c r="I35" s="32" t="n">
        <v>136400</v>
      </c>
      <c r="J35" s="6" t="inlineStr">
        <is>
          <t>Цена по КП</t>
        </is>
      </c>
    </row>
    <row r="36" ht="32" customHeight="1">
      <c r="A36" s="10" t="n">
        <v>148</v>
      </c>
      <c r="B36" s="11" t="inlineStr">
        <is>
          <t>L2-ELE-009</t>
        </is>
      </c>
      <c r="C36" s="11" t="inlineStr">
        <is>
          <t>Электрика</t>
        </is>
      </c>
      <c r="D36" s="11" t="inlineStr">
        <is>
          <t>Розетки, встроенные в маникюрные столы (8 розеток × 4 стола)</t>
        </is>
      </c>
      <c r="E36" s="11" t="inlineStr">
        <is>
          <t>из исходной сметы</t>
        </is>
      </c>
      <c r="F36" s="10" t="inlineStr">
        <is>
          <t>шт</t>
        </is>
      </c>
      <c r="G36" s="33" t="n">
        <v>32</v>
      </c>
      <c r="H36" s="34" t="n">
        <v>272700</v>
      </c>
      <c r="I36" s="35" t="n">
        <v>8726400</v>
      </c>
      <c r="J36" s="11" t="inlineStr">
        <is>
          <t>Цена по КП (блок «розетки для мебели», 44 шт)</t>
        </is>
      </c>
    </row>
    <row r="37" ht="18" customHeight="1">
      <c r="A37" s="5" t="n">
        <v>149</v>
      </c>
      <c r="B37" s="6" t="inlineStr">
        <is>
          <t>L2-ELE-010</t>
        </is>
      </c>
      <c r="C37" s="6" t="inlineStr">
        <is>
          <t>Электрика</t>
        </is>
      </c>
      <c r="D37" s="6" t="inlineStr">
        <is>
          <t>Розетки в столах топ-мастеров (4 × 2)</t>
        </is>
      </c>
      <c r="E37" s="6" t="inlineStr">
        <is>
          <t>из исходной сметы</t>
        </is>
      </c>
      <c r="F37" s="5" t="inlineStr">
        <is>
          <t>шт</t>
        </is>
      </c>
      <c r="G37" s="30" t="n">
        <v>8</v>
      </c>
      <c r="H37" s="31" t="n">
        <v>272700</v>
      </c>
      <c r="I37" s="32" t="n">
        <v>2181600</v>
      </c>
      <c r="J37" s="6" t="inlineStr">
        <is>
          <t>Пом. 4 и 5. Цена по КП</t>
        </is>
      </c>
    </row>
    <row r="38" ht="18" customHeight="1">
      <c r="A38" s="10" t="n">
        <v>150</v>
      </c>
      <c r="B38" s="11" t="inlineStr">
        <is>
          <t>L2-ELE-011</t>
        </is>
      </c>
      <c r="C38" s="11" t="inlineStr">
        <is>
          <t>Электрика</t>
        </is>
      </c>
      <c r="D38" s="11" t="inlineStr">
        <is>
          <t>Розетки в стойке ресепшен (2 × 2)</t>
        </is>
      </c>
      <c r="E38" s="11" t="inlineStr">
        <is>
          <t>из исходной сметы</t>
        </is>
      </c>
      <c r="F38" s="10" t="inlineStr">
        <is>
          <t>шт</t>
        </is>
      </c>
      <c r="G38" s="33" t="n">
        <v>4</v>
      </c>
      <c r="H38" s="34" t="n">
        <v>272700</v>
      </c>
      <c r="I38" s="35" t="n">
        <v>1090800</v>
      </c>
      <c r="J38" s="11" t="inlineStr">
        <is>
          <t>Цена по КП</t>
        </is>
      </c>
    </row>
    <row r="39" ht="18" customHeight="1">
      <c r="A39" s="40" t="inlineStr">
        <is>
          <t>Итого · Электрика</t>
        </is>
      </c>
      <c r="B39" s="41" t="n"/>
      <c r="C39" s="41" t="n"/>
      <c r="D39" s="41" t="n"/>
      <c r="E39" s="41" t="n"/>
      <c r="F39" s="41" t="n"/>
      <c r="G39" s="41" t="n"/>
      <c r="H39" s="41" t="n"/>
      <c r="I39" s="42">
        <f>SUM(I28:I38)</f>
        <v/>
      </c>
      <c r="J39" s="41" t="n"/>
    </row>
    <row r="40" ht="20" customHeight="1">
      <c r="A40" s="38" t="inlineStr">
        <is>
          <t>Освещение и LED</t>
        </is>
      </c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</row>
    <row r="41" ht="32" customHeight="1">
      <c r="A41" s="5" t="n">
        <v>157</v>
      </c>
      <c r="B41" s="6" t="inlineStr">
        <is>
          <t>L2-LGT-001</t>
        </is>
      </c>
      <c r="C41" s="6" t="inlineStr">
        <is>
          <t>Освещение и LED</t>
        </is>
      </c>
      <c r="D41" s="6" t="inlineStr">
        <is>
          <t>Подвесной направленный светильник (по КП — накладной спот на подвесе 15 Вт, 4000 К)</t>
        </is>
      </c>
      <c r="E41" s="6" t="inlineStr">
        <is>
          <t>из исходной сметы</t>
        </is>
      </c>
      <c r="F41" s="5" t="inlineStr">
        <is>
          <t>шт</t>
        </is>
      </c>
      <c r="G41" s="30" t="n">
        <v>101</v>
      </c>
      <c r="H41" s="31" t="n">
        <v>218200</v>
      </c>
      <c r="I41" s="32" t="n">
        <v>22038200</v>
      </c>
      <c r="J41" s="6" t="inlineStr">
        <is>
          <t>Цена по КП поз.12. ВНИМАНИЕ: «накладной на подвесе» — не трековый спот. Сверить с магнитной системой. На фитнесе (КП 1209-1) магнитный поворотный спот под трек — 177 200/шт: если нужен трековый, ×101 выйдет на 4 141 000 дешевле</t>
        </is>
      </c>
    </row>
    <row r="42" ht="18" customHeight="1">
      <c r="A42" s="10" t="n">
        <v>158</v>
      </c>
      <c r="B42" s="11" t="inlineStr">
        <is>
          <t>L2-LGT-002</t>
        </is>
      </c>
      <c r="C42" s="11" t="inlineStr">
        <is>
          <t>Освещение и LED</t>
        </is>
      </c>
      <c r="D42" s="11" t="inlineStr">
        <is>
          <t>Подвесной светильник в курилке 220 В</t>
        </is>
      </c>
      <c r="E42" s="11" t="inlineStr">
        <is>
          <t>из исходной сметы</t>
        </is>
      </c>
      <c r="F42" s="10" t="inlineStr">
        <is>
          <t>шт</t>
        </is>
      </c>
      <c r="G42" s="33" t="n">
        <v>2</v>
      </c>
      <c r="H42" s="34" t="n">
        <v>2045500</v>
      </c>
      <c r="I42" s="35" t="n">
        <v>4091000</v>
      </c>
      <c r="J42" s="11" t="inlineStr">
        <is>
          <t>Цена по КП поз.21</t>
        </is>
      </c>
    </row>
    <row r="43" ht="32" customHeight="1">
      <c r="A43" s="5" t="n">
        <v>159</v>
      </c>
      <c r="B43" s="6" t="inlineStr">
        <is>
          <t>L2-LGT-003</t>
        </is>
      </c>
      <c r="C43" s="6" t="inlineStr">
        <is>
          <t>Освещение и LED</t>
        </is>
      </c>
      <c r="D43" s="6" t="inlineStr">
        <is>
          <t>Настенный светильник (бра) в курилке 220 В (h=1600)</t>
        </is>
      </c>
      <c r="E43" s="6" t="inlineStr">
        <is>
          <t>из исходной сметы</t>
        </is>
      </c>
      <c r="F43" s="5" t="inlineStr">
        <is>
          <t>шт</t>
        </is>
      </c>
      <c r="G43" s="30" t="n">
        <v>1</v>
      </c>
      <c r="H43" s="31" t="n">
        <v>750000</v>
      </c>
      <c r="I43" s="32" t="n">
        <v>750000</v>
      </c>
      <c r="J43" s="6" t="inlineStr">
        <is>
          <t>Цена по КП поз.23. В КП заложено 2 шт против 1 по проекту</t>
        </is>
      </c>
    </row>
    <row r="44" ht="32" customHeight="1">
      <c r="A44" s="10" t="n">
        <v>160</v>
      </c>
      <c r="B44" s="11" t="inlineStr">
        <is>
          <t>L2-LGT-004</t>
        </is>
      </c>
      <c r="C44" s="11" t="inlineStr">
        <is>
          <t>Освещение и LED</t>
        </is>
      </c>
      <c r="D44" s="11" t="inlineStr">
        <is>
          <t>Спот поворотный 20 Вт, чёрный корпус</t>
        </is>
      </c>
      <c r="E44" s="11" t="inlineStr">
        <is>
          <t>из исходной сметы</t>
        </is>
      </c>
      <c r="F44" s="10" t="inlineStr">
        <is>
          <t>шт</t>
        </is>
      </c>
      <c r="G44" s="33" t="n">
        <v>24</v>
      </c>
      <c r="H44" s="34" t="n">
        <v>177200</v>
      </c>
      <c r="I44" s="35" t="n">
        <v>4252800</v>
      </c>
      <c r="J44" s="11" t="inlineStr">
        <is>
          <t>В спецификации РП ОТСУТСТВУЕТ — уточнить назначение (трековые споты?)</t>
        </is>
      </c>
    </row>
    <row r="45" ht="32" customHeight="1">
      <c r="A45" s="5" t="n">
        <v>161</v>
      </c>
      <c r="B45" s="6" t="inlineStr">
        <is>
          <t>L2-LGT-005</t>
        </is>
      </c>
      <c r="C45" s="6" t="inlineStr">
        <is>
          <t>Освещение и LED</t>
        </is>
      </c>
      <c r="D45" s="6" t="inlineStr">
        <is>
          <t>Линейный светильник 900 мм (900)</t>
        </is>
      </c>
      <c r="E45" s="6" t="inlineStr">
        <is>
          <t>из исходной сметы</t>
        </is>
      </c>
      <c r="F45" s="5" t="inlineStr">
        <is>
          <t>шт</t>
        </is>
      </c>
      <c r="G45" s="30" t="n">
        <v>12</v>
      </c>
      <c r="H45" s="31" t="n">
        <v>231800</v>
      </c>
      <c r="I45" s="32" t="n">
        <v>2781600</v>
      </c>
      <c r="J45" s="6" t="inlineStr">
        <is>
          <t>В спецификации РП ОТСУТСТВУЕТ, но на рендерах 43–52 линейные подвесы есть</t>
        </is>
      </c>
    </row>
    <row r="46" ht="32" customHeight="1">
      <c r="A46" s="10" t="n">
        <v>162</v>
      </c>
      <c r="B46" s="11" t="inlineStr">
        <is>
          <t>L2-LGT-006</t>
        </is>
      </c>
      <c r="C46" s="11" t="inlineStr">
        <is>
          <t>Освещение и LED</t>
        </is>
      </c>
      <c r="D46" s="11" t="inlineStr">
        <is>
          <t>Подвесная люстра</t>
        </is>
      </c>
      <c r="E46" s="11" t="inlineStr">
        <is>
          <t>из исходной сметы</t>
        </is>
      </c>
      <c r="F46" s="10" t="inlineStr">
        <is>
          <t>шт</t>
        </is>
      </c>
      <c r="G46" s="33" t="n">
        <v>1</v>
      </c>
      <c r="H46" s="34" t="n">
        <v>4090000</v>
      </c>
      <c r="I46" s="35" t="n">
        <v>4090000</v>
      </c>
      <c r="J46" s="11" t="inlineStr">
        <is>
          <t>В спецификации РП ОТСУТСТВУЕТ — уточнить место</t>
        </is>
      </c>
    </row>
    <row r="47" ht="32" customHeight="1">
      <c r="A47" s="5" t="n">
        <v>163</v>
      </c>
      <c r="B47" s="6" t="inlineStr">
        <is>
          <t>L2-LGT-007</t>
        </is>
      </c>
      <c r="C47" s="6" t="inlineStr">
        <is>
          <t>Освещение и LED</t>
        </is>
      </c>
      <c r="D47" s="6" t="inlineStr">
        <is>
          <t>Секция магнитного шинопровода 3000 мм (3000)</t>
        </is>
      </c>
      <c r="E47" s="6" t="inlineStr">
        <is>
          <t>из исходной сметы</t>
        </is>
      </c>
      <c r="F47" s="5" t="inlineStr">
        <is>
          <t>шт</t>
        </is>
      </c>
      <c r="G47" s="30" t="n">
        <v>11</v>
      </c>
      <c r="H47" s="31" t="n">
        <v>327200</v>
      </c>
      <c r="I47" s="32" t="n">
        <v>3599200</v>
      </c>
      <c r="J47" s="6" t="inlineStr">
        <is>
          <t>Раскрой: 9800 = 3+3+2+2; 5000 = 3+2; 4800 = 3+2 (×4); 2850 = 3 (×3); 2440 = 3. В КП заложено 8 шт</t>
        </is>
      </c>
    </row>
    <row r="48" ht="32" customHeight="1">
      <c r="A48" s="10" t="n">
        <v>164</v>
      </c>
      <c r="B48" s="11" t="inlineStr">
        <is>
          <t>L2-LGT-008</t>
        </is>
      </c>
      <c r="C48" s="11" t="inlineStr">
        <is>
          <t>Освещение и LED</t>
        </is>
      </c>
      <c r="D48" s="11" t="inlineStr">
        <is>
          <t>Секция магнитного шинопровода 2000 мм (2000)</t>
        </is>
      </c>
      <c r="E48" s="11" t="inlineStr">
        <is>
          <t>из исходной сметы</t>
        </is>
      </c>
      <c r="F48" s="10" t="inlineStr">
        <is>
          <t>шт</t>
        </is>
      </c>
      <c r="G48" s="33" t="n">
        <v>19</v>
      </c>
      <c r="H48" s="34" t="n">
        <v>218100</v>
      </c>
      <c r="I48" s="35" t="n">
        <v>4143900</v>
      </c>
      <c r="J48" s="11" t="inlineStr">
        <is>
          <t>3100 = 2+2 (×4); 1800 = 2 (×2); вторые части трасс. В КП заложено 4 шт</t>
        </is>
      </c>
    </row>
    <row r="49" ht="32" customHeight="1">
      <c r="A49" s="5" t="n">
        <v>165</v>
      </c>
      <c r="B49" s="6" t="inlineStr">
        <is>
          <t>L2-LGT-009</t>
        </is>
      </c>
      <c r="C49" s="6" t="inlineStr">
        <is>
          <t>Освещение и LED</t>
        </is>
      </c>
      <c r="D49" s="6" t="inlineStr">
        <is>
          <t>Соединитель прямой (стык секций внутри трассы)</t>
        </is>
      </c>
      <c r="E49" s="6" t="inlineStr">
        <is>
          <t>из исходной сметы</t>
        </is>
      </c>
      <c r="F49" s="5" t="inlineStr">
        <is>
          <t>шт</t>
        </is>
      </c>
      <c r="G49" s="30" t="n">
        <v>13</v>
      </c>
      <c r="H49" s="31" t="n">
        <v>40900</v>
      </c>
      <c r="I49" s="32" t="n">
        <v>531700</v>
      </c>
      <c r="J49" s="6" t="inlineStr">
        <is>
          <t>30 секций − 17 трасс. В КП только угловые 8 шт, прямых НЕТ</t>
        </is>
      </c>
    </row>
    <row r="50" ht="32" customHeight="1">
      <c r="A50" s="10" t="n">
        <v>168</v>
      </c>
      <c r="B50" s="11" t="inlineStr">
        <is>
          <t>L2-LGT-012</t>
        </is>
      </c>
      <c r="C50" s="11" t="inlineStr">
        <is>
          <t>Освещение и LED</t>
        </is>
      </c>
      <c r="D50" s="11" t="inlineStr">
        <is>
          <t>Комплект тросового подвеса</t>
        </is>
      </c>
      <c r="E50" s="11" t="inlineStr">
        <is>
          <t>из исходной сметы</t>
        </is>
      </c>
      <c r="F50" s="10" t="inlineStr">
        <is>
          <t>шт</t>
        </is>
      </c>
      <c r="G50" s="33" t="n">
        <v>60</v>
      </c>
      <c r="H50" s="34" t="n">
        <v>34000</v>
      </c>
      <c r="I50" s="35" t="n">
        <v>2040000</v>
      </c>
      <c r="J50" s="11" t="inlineStr">
        <is>
          <t>2 на секцию × 30 секций. В КП заложено 24 шт (под 12 треков)</t>
        </is>
      </c>
    </row>
    <row r="51" ht="32" customHeight="1">
      <c r="A51" s="5" t="n">
        <v>169</v>
      </c>
      <c r="B51" s="6" t="inlineStr">
        <is>
          <t>L2-LGT-013</t>
        </is>
      </c>
      <c r="C51" s="6" t="inlineStr">
        <is>
          <t>Освещение и LED</t>
        </is>
      </c>
      <c r="D51" s="6" t="inlineStr">
        <is>
          <t>Блок питания трека 300 Вт (вариант Б — низковольтная система) (300 Вт)</t>
        </is>
      </c>
      <c r="E51" s="6" t="inlineStr">
        <is>
          <t>из исходной сметы</t>
        </is>
      </c>
      <c r="F51" s="5" t="inlineStr">
        <is>
          <t>шт</t>
        </is>
      </c>
      <c r="G51" s="30" t="n">
        <v>11</v>
      </c>
      <c r="H51" s="31" t="n">
        <v>300000</v>
      </c>
      <c r="I51" s="32" t="n">
        <v>3300000</v>
      </c>
      <c r="J51" s="6" t="inlineStr">
        <is>
          <t>Сумма мощности × запас / 300 Вт. В КП заложено 8 шт — сходится</t>
        </is>
      </c>
    </row>
    <row r="52" ht="32" customHeight="1">
      <c r="A52" s="10" t="n">
        <v>170</v>
      </c>
      <c r="B52" s="11" t="inlineStr">
        <is>
          <t>L2-LGT-014</t>
        </is>
      </c>
      <c r="C52" s="11" t="inlineStr">
        <is>
          <t>Освещение и LED</t>
        </is>
      </c>
      <c r="D52" s="11" t="inlineStr">
        <is>
          <t>Теневой плинтус с LED-подсветкой, чёрный корпус</t>
        </is>
      </c>
      <c r="E52" s="11" t="inlineStr">
        <is>
          <t>из исходной сметы</t>
        </is>
      </c>
      <c r="F52" s="10" t="inlineStr">
        <is>
          <t>п.м.</t>
        </is>
      </c>
      <c r="G52" s="33" t="n">
        <v>102</v>
      </c>
      <c r="H52" s="34" t="n">
        <v>95500</v>
      </c>
      <c r="I52" s="35" t="n">
        <v>9741000</v>
      </c>
      <c r="J52" s="11" t="inlineStr">
        <is>
          <t>Цена по КП поз.16 (в КП 104 м)</t>
        </is>
      </c>
    </row>
    <row r="53" ht="32" customHeight="1">
      <c r="A53" s="5" t="n">
        <v>171</v>
      </c>
      <c r="B53" s="6" t="inlineStr">
        <is>
          <t>L2-LGT-015</t>
        </is>
      </c>
      <c r="C53" s="6" t="inlineStr">
        <is>
          <t>Освещение и LED</t>
        </is>
      </c>
      <c r="D53" s="6" t="inlineStr">
        <is>
          <t>LED-лента 24 В 120/4000 К: потолок, мебель, отделка</t>
        </is>
      </c>
      <c r="E53" s="6" t="inlineStr">
        <is>
          <t>из исходной сметы</t>
        </is>
      </c>
      <c r="F53" s="5" t="inlineStr">
        <is>
          <t>п.м.</t>
        </is>
      </c>
      <c r="G53" s="30" t="n">
        <v>76</v>
      </c>
      <c r="H53" s="31" t="n">
        <v>21800</v>
      </c>
      <c r="I53" s="32" t="n">
        <v>1656800</v>
      </c>
      <c r="J53" s="6" t="inlineStr">
        <is>
          <t>Цена по КП поз.15 (в КП 110 м). Метраж уточнить обмером</t>
        </is>
      </c>
    </row>
    <row r="54" ht="32" customHeight="1">
      <c r="A54" s="10" t="n">
        <v>172</v>
      </c>
      <c r="B54" s="11" t="inlineStr">
        <is>
          <t>L2-LGT-016</t>
        </is>
      </c>
      <c r="C54" s="11" t="inlineStr">
        <is>
          <t>Освещение и LED</t>
        </is>
      </c>
      <c r="D54" s="11" t="inlineStr">
        <is>
          <t>Блок питания для ленты 24 В, 200 Вт (200 Вт)</t>
        </is>
      </c>
      <c r="E54" s="11" t="inlineStr">
        <is>
          <t>из исходной сметы</t>
        </is>
      </c>
      <c r="F54" s="10" t="inlineStr">
        <is>
          <t>шт</t>
        </is>
      </c>
      <c r="G54" s="33" t="n">
        <v>11</v>
      </c>
      <c r="H54" s="34" t="n">
        <v>163600</v>
      </c>
      <c r="I54" s="35" t="n">
        <v>1799600</v>
      </c>
      <c r="J54" s="11" t="inlineStr">
        <is>
          <t>В КП заложено 8 шт — проверить против расчёта</t>
        </is>
      </c>
    </row>
    <row r="55" ht="18" customHeight="1">
      <c r="A55" s="40" t="inlineStr">
        <is>
          <t>Итого · Освещение и LED</t>
        </is>
      </c>
      <c r="B55" s="41" t="n"/>
      <c r="C55" s="41" t="n"/>
      <c r="D55" s="41" t="n"/>
      <c r="E55" s="41" t="n"/>
      <c r="F55" s="41" t="n"/>
      <c r="G55" s="41" t="n"/>
      <c r="H55" s="41" t="n"/>
      <c r="I55" s="42">
        <f>SUM(I41:I54)</f>
        <v/>
      </c>
      <c r="J55" s="41" t="n"/>
    </row>
    <row r="56" ht="20" customHeight="1">
      <c r="A56" s="38" t="inlineStr">
        <is>
          <t>Отделка (стены, потолок, полы)</t>
        </is>
      </c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</row>
    <row r="57" ht="32" customHeight="1">
      <c r="A57" s="5" t="n">
        <v>175</v>
      </c>
      <c r="B57" s="6" t="inlineStr">
        <is>
          <t>L2-FIN-001</t>
        </is>
      </c>
      <c r="C57" s="6" t="inlineStr">
        <is>
          <t>Отделка (стены, потолок, полы)</t>
        </is>
      </c>
      <c r="D57" s="6" t="inlineStr">
        <is>
          <t>Кафель основной 1200 × 1200 (все зоны, кроме курилки) (1200 × 1200)</t>
        </is>
      </c>
      <c r="E57" s="6" t="inlineStr">
        <is>
          <t>из исходной сметы</t>
        </is>
      </c>
      <c r="F57" s="5" t="inlineStr">
        <is>
          <t>м²</t>
        </is>
      </c>
      <c r="G57" s="30" t="n">
        <v>170.94</v>
      </c>
      <c r="H57" s="31" t="n">
        <v>395000</v>
      </c>
      <c r="I57" s="32" t="n">
        <v>67521300</v>
      </c>
      <c r="J57" s="6" t="inlineStr">
        <is>
          <t>С запасом +10 %. Цены на кафель в спецификации фитнеса нет (От-6, НП-3 пустые) — 395 000 не подтверждена</t>
        </is>
      </c>
    </row>
    <row r="58" ht="32" customHeight="1">
      <c r="A58" s="10" t="n">
        <v>176</v>
      </c>
      <c r="B58" s="11" t="inlineStr">
        <is>
          <t>L2-FIN-002</t>
        </is>
      </c>
      <c r="C58" s="11" t="inlineStr">
        <is>
          <t>Отделка (стены, потолок, полы)</t>
        </is>
      </c>
      <c r="D58" s="11" t="inlineStr">
        <is>
          <t>Кафель в Smoking room (другой, контрастная раскладка) (формат уточнить)</t>
        </is>
      </c>
      <c r="E58" s="11" t="inlineStr">
        <is>
          <t>из исходной сметы</t>
        </is>
      </c>
      <c r="F58" s="10" t="inlineStr">
        <is>
          <t>м²</t>
        </is>
      </c>
      <c r="G58" s="33" t="n">
        <v>4.84</v>
      </c>
      <c r="H58" s="34" t="n">
        <v>395000</v>
      </c>
      <c r="I58" s="35" t="n">
        <v>1911800</v>
      </c>
      <c r="J58" s="11" t="inlineStr">
        <is>
          <t>Отдельная позиция: на плане л.15 весь пол одним кафелем — расхождение с рендером. Формат и раскладку задать</t>
        </is>
      </c>
    </row>
    <row r="59" ht="32" customHeight="1">
      <c r="A59" s="5" t="n">
        <v>177</v>
      </c>
      <c r="B59" s="6" t="inlineStr">
        <is>
          <t>L2-FIN-003</t>
        </is>
      </c>
      <c r="C59" s="6" t="inlineStr">
        <is>
          <t>Отделка (стены, потолок, полы)</t>
        </is>
      </c>
      <c r="D59" s="6" t="inlineStr">
        <is>
          <t>Краска для потолка (цвет 1)</t>
        </is>
      </c>
      <c r="E59" s="6" t="inlineStr">
        <is>
          <t>из исходной сметы</t>
        </is>
      </c>
      <c r="F59" s="5" t="inlineStr">
        <is>
          <t>м²</t>
        </is>
      </c>
      <c r="G59" s="30" t="n">
        <v>290</v>
      </c>
      <c r="H59" s="31" t="n">
        <v>8000</v>
      </c>
      <c r="I59" s="32" t="n">
        <v>2320000</v>
      </c>
      <c r="J59" s="6" t="inlineStr">
        <is>
          <t>С запасом +15 %. АНАЛОГ: цена с фитнеса -1 эт., С-1 (чёрная окраска плиты и балок). Было 25 000 — на фитнесе цена подозрительно низкая, проверить: материал или работа</t>
        </is>
      </c>
    </row>
    <row r="60" ht="32" customHeight="1">
      <c r="A60" s="10" t="n">
        <v>178</v>
      </c>
      <c r="B60" s="11" t="inlineStr">
        <is>
          <t>L2-FIN-004</t>
        </is>
      </c>
      <c r="C60" s="11" t="inlineStr">
        <is>
          <t>Отделка (стены, потолок, полы)</t>
        </is>
      </c>
      <c r="D60" s="11" t="inlineStr">
        <is>
          <t>Краска для стен (цвет 1)</t>
        </is>
      </c>
      <c r="E60" s="11" t="inlineStr">
        <is>
          <t>из исходной сметы</t>
        </is>
      </c>
      <c r="F60" s="10" t="inlineStr">
        <is>
          <t>м²</t>
        </is>
      </c>
      <c r="G60" s="33" t="n">
        <v>350</v>
      </c>
      <c r="H60" s="34" t="n">
        <v>29400</v>
      </c>
      <c r="I60" s="35" t="n">
        <v>10290000</v>
      </c>
      <c r="J60" s="11" t="inlineStr">
        <is>
          <t>С запасом +15 %; цвет согласовать с дизайнером. АНАЛОГ: цвет студии не задан; на фитнесе краски стен 19 300…29 400 за м² (От-1…От-4), взята верхняя — RAL 9006. Было 32 000</t>
        </is>
      </c>
    </row>
    <row r="61" ht="32" customHeight="1">
      <c r="A61" s="5" t="n">
        <v>181</v>
      </c>
      <c r="B61" s="6" t="inlineStr">
        <is>
          <t>L2-FIN-007</t>
        </is>
      </c>
      <c r="C61" s="6" t="inlineStr">
        <is>
          <t>Отделка (стены, потолок, полы)</t>
        </is>
      </c>
      <c r="D61" s="6" t="inlineStr">
        <is>
          <t>Бамбуковая панель, текстура дерева (гладкая) (1220 × 3000)</t>
        </is>
      </c>
      <c r="E61" s="6" t="inlineStr">
        <is>
          <t>из исходной сметы</t>
        </is>
      </c>
      <c r="F61" s="5" t="inlineStr">
        <is>
          <t>лист</t>
        </is>
      </c>
      <c r="G61" s="30" t="n">
        <v>3</v>
      </c>
      <c r="H61" s="31" t="n">
        <v>350000</v>
      </c>
      <c r="I61" s="32" t="n">
        <v>1050000</v>
      </c>
      <c r="J61" s="6" t="n"/>
    </row>
    <row r="62" ht="32" customHeight="1">
      <c r="A62" s="10" t="n">
        <v>182</v>
      </c>
      <c r="B62" s="11" t="inlineStr">
        <is>
          <t>L2-FIN-008</t>
        </is>
      </c>
      <c r="C62" s="11" t="inlineStr">
        <is>
          <t>Отделка (стены, потолок, полы)</t>
        </is>
      </c>
      <c r="D62" s="11" t="inlineStr">
        <is>
          <t>Бамбуковая панель, рельефная поверхность (1220 × 3000)</t>
        </is>
      </c>
      <c r="E62" s="11" t="inlineStr">
        <is>
          <t>из исходной сметы</t>
        </is>
      </c>
      <c r="F62" s="10" t="inlineStr">
        <is>
          <t>лист</t>
        </is>
      </c>
      <c r="G62" s="33" t="n">
        <v>9</v>
      </c>
      <c r="H62" s="34" t="n">
        <v>350000</v>
      </c>
      <c r="I62" s="35" t="n">
        <v>3150000</v>
      </c>
      <c r="J62" s="11" t="n"/>
    </row>
    <row r="63" ht="32" customHeight="1">
      <c r="A63" s="5" t="n">
        <v>183</v>
      </c>
      <c r="B63" s="6" t="inlineStr">
        <is>
          <t>L2-FIN-009</t>
        </is>
      </c>
      <c r="C63" s="6" t="inlineStr">
        <is>
          <t>Отделка (стены, потолок, полы)</t>
        </is>
      </c>
      <c r="D63" s="6" t="inlineStr">
        <is>
          <t>Соединительный профиль (вертикальный) (3000)</t>
        </is>
      </c>
      <c r="E63" s="6" t="inlineStr">
        <is>
          <t>из исходной сметы</t>
        </is>
      </c>
      <c r="F63" s="5" t="inlineStr">
        <is>
          <t>шт</t>
        </is>
      </c>
      <c r="G63" s="30" t="n">
        <v>8</v>
      </c>
      <c r="H63" s="31" t="n">
        <v>35000</v>
      </c>
      <c r="I63" s="32" t="n">
        <v>280000</v>
      </c>
      <c r="J63" s="6" t="n"/>
    </row>
    <row r="64" ht="18" customHeight="1">
      <c r="A64" s="10" t="n">
        <v>184</v>
      </c>
      <c r="B64" s="11" t="inlineStr">
        <is>
          <t>L2-FIN-010</t>
        </is>
      </c>
      <c r="C64" s="11" t="inlineStr">
        <is>
          <t>Отделка (стены, потолок, полы)</t>
        </is>
      </c>
      <c r="D64" s="11" t="inlineStr">
        <is>
          <t>Профиль внешнего угла (3000)</t>
        </is>
      </c>
      <c r="E64" s="11" t="inlineStr">
        <is>
          <t>из исходной сметы</t>
        </is>
      </c>
      <c r="F64" s="10" t="inlineStr">
        <is>
          <t>шт</t>
        </is>
      </c>
      <c r="G64" s="33" t="n">
        <v>2</v>
      </c>
      <c r="H64" s="34" t="n">
        <v>35000</v>
      </c>
      <c r="I64" s="35" t="n">
        <v>70000</v>
      </c>
      <c r="J64" s="11" t="n"/>
    </row>
    <row r="65" ht="18" customHeight="1">
      <c r="A65" s="5" t="n">
        <v>185</v>
      </c>
      <c r="B65" s="6" t="inlineStr">
        <is>
          <t>L2-FIN-011</t>
        </is>
      </c>
      <c r="C65" s="6" t="inlineStr">
        <is>
          <t>Отделка (стены, потолок, полы)</t>
        </is>
      </c>
      <c r="D65" s="6" t="inlineStr">
        <is>
          <t>Наконечник (3000)</t>
        </is>
      </c>
      <c r="E65" s="6" t="inlineStr">
        <is>
          <t>из исходной сметы</t>
        </is>
      </c>
      <c r="F65" s="5" t="inlineStr">
        <is>
          <t>шт</t>
        </is>
      </c>
      <c r="G65" s="30" t="n">
        <v>14</v>
      </c>
      <c r="H65" s="31" t="n">
        <v>35000</v>
      </c>
      <c r="I65" s="32" t="n">
        <v>490000</v>
      </c>
      <c r="J65" s="6" t="n"/>
    </row>
    <row r="66" ht="18" customHeight="1">
      <c r="A66" s="40" t="inlineStr">
        <is>
          <t>Итого · Отделка (стены, потолок, полы)</t>
        </is>
      </c>
      <c r="B66" s="41" t="n"/>
      <c r="C66" s="41" t="n"/>
      <c r="D66" s="41" t="n"/>
      <c r="E66" s="41" t="n"/>
      <c r="F66" s="41" t="n"/>
      <c r="G66" s="41" t="n"/>
      <c r="H66" s="41" t="n"/>
      <c r="I66" s="42">
        <f>SUM(I57:I65)</f>
        <v/>
      </c>
      <c r="J66" s="41" t="n"/>
    </row>
    <row r="68" ht="24" customHeight="1">
      <c r="A68" s="15" t="inlineStr">
        <is>
          <t>ИТОГО точные  ·  51 поз.</t>
        </is>
      </c>
      <c r="B68" s="37" t="n"/>
      <c r="C68" s="37" t="n"/>
      <c r="D68" s="37" t="n"/>
      <c r="E68" s="37" t="n"/>
      <c r="F68" s="37" t="n"/>
      <c r="G68" s="37" t="n"/>
      <c r="H68" s="37" t="n"/>
      <c r="I68" s="18">
        <f>I15+I26+I39+I55+I66</f>
        <v/>
      </c>
      <c r="J68" s="37" t="n"/>
    </row>
  </sheetData>
  <mergeCells count="14">
    <mergeCell ref="A1:J1"/>
    <mergeCell ref="A26:H26"/>
    <mergeCell ref="A39:H39"/>
    <mergeCell ref="A55:H55"/>
    <mergeCell ref="A15:H15"/>
    <mergeCell ref="A6:J6"/>
    <mergeCell ref="A16:J16"/>
    <mergeCell ref="A40:J40"/>
    <mergeCell ref="A27:J27"/>
    <mergeCell ref="A56:J56"/>
    <mergeCell ref="A3:J3"/>
    <mergeCell ref="A68:H68"/>
    <mergeCell ref="A66:H66"/>
    <mergeCell ref="A2:J2"/>
  </mergeCells>
  <pageMargins left="0.4" right="0.4" top="0.5" bottom="0.5" header="0.2" footer="0.2"/>
  <pageSetup orientation="landscape" paperSize="9" fitToHeight="0" fitToWidth="1"/>
  <headerFooter>
    <oddHeader>&amp;LTemiroff Edifice · точные цены&amp;CТочные цены</oddHeader>
    <oddFooter>&amp;RСрез сметы 04.10.2026  |  стр.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10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4" customHeight="1">
      <c r="A1" s="27" t="inlineStr">
        <is>
          <t>Точные цены</t>
        </is>
      </c>
    </row>
    <row r="2" ht="18" customHeight="1">
      <c r="A2" s="28" t="inlineStr">
        <is>
          <t>3 этаж · Офис · 185,66 м²</t>
        </is>
      </c>
    </row>
    <row r="3" ht="32" customHeight="1">
      <c r="A3" s="29" t="inlineStr">
        <is>
          <t>Только точные цены (зелёные на сайте). Примерные позиции в этот лист не входят. Срез сметы 04.10.2026.</t>
        </is>
      </c>
    </row>
    <row r="4" ht="8" customHeight="1"/>
    <row r="5" ht="22" customHeight="1">
      <c r="A5" s="4" t="inlineStr">
        <is>
          <t>№</t>
        </is>
      </c>
      <c r="B5" s="4" t="inlineStr">
        <is>
          <t>Код</t>
        </is>
      </c>
      <c r="C5" s="4" t="inlineStr">
        <is>
          <t>Раздел</t>
        </is>
      </c>
      <c r="D5" s="4" t="inlineStr">
        <is>
          <t>Наименование</t>
        </is>
      </c>
      <c r="E5" s="4" t="inlineStr">
        <is>
          <t>Спецификация</t>
        </is>
      </c>
      <c r="F5" s="4" t="inlineStr">
        <is>
          <t>Ед.</t>
        </is>
      </c>
      <c r="G5" s="4" t="inlineStr">
        <is>
          <t>Кол-во</t>
        </is>
      </c>
      <c r="H5" s="4" t="inlineStr">
        <is>
          <t>Цена, сум</t>
        </is>
      </c>
      <c r="I5" s="4" t="inlineStr">
        <is>
          <t>Сумма, сум</t>
        </is>
      </c>
      <c r="J5" s="4" t="inlineStr">
        <is>
          <t>Примечание</t>
        </is>
      </c>
    </row>
    <row r="6" ht="20" customHeight="1">
      <c r="A6" s="38" t="inlineStr">
        <is>
          <t>Перегородки, двери, остекление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</row>
    <row r="7" ht="32" customHeight="1">
      <c r="A7" s="5" t="n">
        <v>258</v>
      </c>
      <c r="B7" s="6" t="inlineStr">
        <is>
          <t>L3-PER-001</t>
        </is>
      </c>
      <c r="C7" s="6" t="inlineStr">
        <is>
          <t>Перегородки, двери, остекление</t>
        </is>
      </c>
      <c r="D7" s="6" t="inlineStr">
        <is>
          <t>Гипсокартонная перегородка (ГКЛ) — 50 мм</t>
        </is>
      </c>
      <c r="E7" s="6" t="inlineStr">
        <is>
          <t>из исходной сметы</t>
        </is>
      </c>
      <c r="F7" s="5" t="inlineStr">
        <is>
          <t>м²</t>
        </is>
      </c>
      <c r="G7" s="30" t="n">
        <v>7</v>
      </c>
      <c r="H7" s="31" t="n">
        <v>80000</v>
      </c>
      <c r="I7" s="32" t="n">
        <v>560000</v>
      </c>
      <c r="J7" s="6" t="inlineStr">
        <is>
          <t>50 мм с двусторонней обшивкой на стандартном профиле не собрать — узел уточнить</t>
        </is>
      </c>
    </row>
    <row r="8" ht="18" customHeight="1">
      <c r="A8" s="10" t="n">
        <v>259</v>
      </c>
      <c r="B8" s="11" t="inlineStr">
        <is>
          <t>L3-PER-002</t>
        </is>
      </c>
      <c r="C8" s="11" t="inlineStr">
        <is>
          <t>Перегородки, двери, остекление</t>
        </is>
      </c>
      <c r="D8" s="11" t="inlineStr">
        <is>
          <t>Гипсокартонная перегородка (ГКЛ) — 100 мм</t>
        </is>
      </c>
      <c r="E8" s="11" t="inlineStr">
        <is>
          <t>из исходной сметы</t>
        </is>
      </c>
      <c r="F8" s="10" t="inlineStr">
        <is>
          <t>м²</t>
        </is>
      </c>
      <c r="G8" s="33" t="n">
        <v>96</v>
      </c>
      <c r="H8" s="34" t="n">
        <v>80000</v>
      </c>
      <c r="I8" s="35" t="n">
        <v>7680000</v>
      </c>
      <c r="J8" s="11" t="inlineStr">
        <is>
          <t>в С/У и кухне под керамогранит — ГКЛВ</t>
        </is>
      </c>
    </row>
    <row r="9" ht="32" customHeight="1">
      <c r="A9" s="5" t="n">
        <v>263</v>
      </c>
      <c r="B9" s="6" t="inlineStr">
        <is>
          <t>L3-PER-006</t>
        </is>
      </c>
      <c r="C9" s="6" t="inlineStr">
        <is>
          <t>Перегородки, двери, остекление</t>
        </is>
      </c>
      <c r="D9" s="6" t="inlineStr">
        <is>
          <t>Дверной блок ≈900×2100, скрытый монтаж, полотно под дерево (по ДП)</t>
        </is>
      </c>
      <c r="E9" s="6" t="inlineStr">
        <is>
          <t>цена $ × 11700</t>
        </is>
      </c>
      <c r="F9" s="5" t="inlineStr">
        <is>
          <t>шт</t>
        </is>
      </c>
      <c r="G9" s="30" t="n">
        <v>4</v>
      </c>
      <c r="H9" s="31" t="n">
        <v>7605000</v>
      </c>
      <c r="I9" s="32" t="n">
        <v>30420000</v>
      </c>
      <c r="J9" s="6" t="inlineStr">
        <is>
          <t>пом. 14 переговорная, 21 кухня, 12 курилка, 13 архив. Размеры в РП не даны</t>
        </is>
      </c>
    </row>
    <row r="10" ht="32" customHeight="1">
      <c r="A10" s="10" t="n">
        <v>264</v>
      </c>
      <c r="B10" s="11" t="inlineStr">
        <is>
          <t>L3-PER-007</t>
        </is>
      </c>
      <c r="C10" s="11" t="inlineStr">
        <is>
          <t>Перегородки, двери, остекление</t>
        </is>
      </c>
      <c r="D10" s="11" t="inlineStr">
        <is>
          <t>Дверной блок ≈800×2100, скрытый монтаж, под покраску</t>
        </is>
      </c>
      <c r="E10" s="11" t="inlineStr">
        <is>
          <t>цена $ × 11700</t>
        </is>
      </c>
      <c r="F10" s="10" t="inlineStr">
        <is>
          <t>шт</t>
        </is>
      </c>
      <c r="G10" s="33" t="n">
        <v>3</v>
      </c>
      <c r="H10" s="34" t="n">
        <v>7605000</v>
      </c>
      <c r="I10" s="35" t="n">
        <v>22815000</v>
      </c>
      <c r="J10" s="11" t="inlineStr">
        <is>
          <t>пом. 17 серверная (с замком), 23 кладовая, 19 тех. пом. Дверь пом. 19 — проверить, не существующая ли</t>
        </is>
      </c>
    </row>
    <row r="11" ht="32" customHeight="1">
      <c r="A11" s="5" t="n">
        <v>265</v>
      </c>
      <c r="B11" s="6" t="inlineStr">
        <is>
          <t>L3-PER-008</t>
        </is>
      </c>
      <c r="C11" s="6" t="inlineStr">
        <is>
          <t>Перегородки, двери, остекление</t>
        </is>
      </c>
      <c r="D11" s="6" t="inlineStr">
        <is>
          <t>Дверной блок ≈800×2100, скрытый монтаж, ВЛАГОСТОЙКОЕ ИСПОЛНЕНИЕ</t>
        </is>
      </c>
      <c r="E11" s="6" t="inlineStr">
        <is>
          <t>цена $ × 11700</t>
        </is>
      </c>
      <c r="F11" s="5" t="inlineStr">
        <is>
          <t>шт</t>
        </is>
      </c>
      <c r="G11" s="30" t="n">
        <v>3</v>
      </c>
      <c r="H11" s="31" t="n">
        <v>7020000</v>
      </c>
      <c r="I11" s="32" t="n">
        <v>21060000</v>
      </c>
      <c r="J11" s="6" t="inlineStr">
        <is>
          <t>пом. 22 С/у, 24 С/у М, 25 С/у Ж</t>
        </is>
      </c>
    </row>
    <row r="12" ht="18" customHeight="1">
      <c r="A12" s="40" t="inlineStr">
        <is>
          <t>Итого · Перегородки, двери, остекление</t>
        </is>
      </c>
      <c r="B12" s="41" t="n"/>
      <c r="C12" s="41" t="n"/>
      <c r="D12" s="41" t="n"/>
      <c r="E12" s="41" t="n"/>
      <c r="F12" s="41" t="n"/>
      <c r="G12" s="41" t="n"/>
      <c r="H12" s="41" t="n"/>
      <c r="I12" s="42">
        <f>SUM(I7:I11)</f>
        <v/>
      </c>
      <c r="J12" s="41" t="n"/>
    </row>
    <row r="13" ht="20" customHeight="1">
      <c r="A13" s="38" t="inlineStr">
        <is>
          <t>Сантехника</t>
        </is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</row>
    <row r="14" ht="18" customHeight="1">
      <c r="A14" s="10" t="n">
        <v>268</v>
      </c>
      <c r="B14" s="11" t="inlineStr">
        <is>
          <t>L3-SAN-001</t>
        </is>
      </c>
      <c r="C14" s="11" t="inlineStr">
        <is>
          <t>Сантехника</t>
        </is>
      </c>
      <c r="D14" s="11" t="inlineStr">
        <is>
          <t>Гигиенический душ ХВ</t>
        </is>
      </c>
      <c r="E14" s="11" t="inlineStr">
        <is>
          <t>из исходной сметы</t>
        </is>
      </c>
      <c r="F14" s="10" t="inlineStr">
        <is>
          <t>шт</t>
        </is>
      </c>
      <c r="G14" s="33" t="n">
        <v>2</v>
      </c>
      <c r="H14" s="34" t="n">
        <v>700000</v>
      </c>
      <c r="I14" s="35" t="n">
        <v>1400000</v>
      </c>
      <c r="J14" s="11" t="inlineStr">
        <is>
          <t>пом. 24, 25. По РП только ХВ</t>
        </is>
      </c>
    </row>
    <row r="15" ht="18" customHeight="1">
      <c r="A15" s="5" t="n">
        <v>269</v>
      </c>
      <c r="B15" s="6" t="inlineStr">
        <is>
          <t>L3-SAN-002</t>
        </is>
      </c>
      <c r="C15" s="6" t="inlineStr">
        <is>
          <t>Сантехника</t>
        </is>
      </c>
      <c r="D15" s="6" t="inlineStr">
        <is>
          <t>Ершик туалетный</t>
        </is>
      </c>
      <c r="E15" s="6" t="inlineStr">
        <is>
          <t>из исходной сметы</t>
        </is>
      </c>
      <c r="F15" s="5" t="inlineStr">
        <is>
          <t>шт</t>
        </is>
      </c>
      <c r="G15" s="30" t="n">
        <v>2</v>
      </c>
      <c r="H15" s="31" t="n">
        <v>300000</v>
      </c>
      <c r="I15" s="32" t="n">
        <v>600000</v>
      </c>
      <c r="J15" s="6" t="n"/>
    </row>
    <row r="16" ht="18" customHeight="1">
      <c r="A16" s="10" t="n">
        <v>270</v>
      </c>
      <c r="B16" s="11" t="inlineStr">
        <is>
          <t>L3-SAN-003</t>
        </is>
      </c>
      <c r="C16" s="11" t="inlineStr">
        <is>
          <t>Сантехника</t>
        </is>
      </c>
      <c r="D16" s="11" t="inlineStr">
        <is>
          <t>Раковина (С/у 22, в тумбе М7)</t>
        </is>
      </c>
      <c r="E16" s="11" t="inlineStr">
        <is>
          <t>из исходной сметы</t>
        </is>
      </c>
      <c r="F16" s="10" t="inlineStr">
        <is>
          <t>шт</t>
        </is>
      </c>
      <c r="G16" s="33" t="n">
        <v>1</v>
      </c>
      <c r="H16" s="34" t="n">
        <v>1500000</v>
      </c>
      <c r="I16" s="35" t="n">
        <v>1500000</v>
      </c>
      <c r="J16" s="11" t="inlineStr">
        <is>
          <t>цена по фитнесу (встраиваемая)</t>
        </is>
      </c>
    </row>
    <row r="17" ht="18" customHeight="1">
      <c r="A17" s="5" t="n">
        <v>271</v>
      </c>
      <c r="B17" s="6" t="inlineStr">
        <is>
          <t>L3-SAN-004</t>
        </is>
      </c>
      <c r="C17" s="6" t="inlineStr">
        <is>
          <t>Сантехника</t>
        </is>
      </c>
      <c r="D17" s="6" t="inlineStr">
        <is>
          <t>Унитаз подвесной</t>
        </is>
      </c>
      <c r="E17" s="6" t="inlineStr">
        <is>
          <t>из исходной сметы</t>
        </is>
      </c>
      <c r="F17" s="5" t="inlineStr">
        <is>
          <t>шт</t>
        </is>
      </c>
      <c r="G17" s="30" t="n">
        <v>2</v>
      </c>
      <c r="H17" s="31" t="n">
        <v>3000000</v>
      </c>
      <c r="I17" s="32" t="n">
        <v>6000000</v>
      </c>
      <c r="J17" s="6" t="inlineStr">
        <is>
          <t>пом. 24, 25</t>
        </is>
      </c>
    </row>
    <row r="18" ht="32" customHeight="1">
      <c r="A18" s="10" t="n">
        <v>272</v>
      </c>
      <c r="B18" s="11" t="inlineStr">
        <is>
          <t>L3-SAN-005</t>
        </is>
      </c>
      <c r="C18" s="11" t="inlineStr">
        <is>
          <t>Сантехника</t>
        </is>
      </c>
      <c r="D18" s="11" t="inlineStr">
        <is>
          <t>Инсталляция для унитаза</t>
        </is>
      </c>
      <c r="E18" s="11" t="inlineStr">
        <is>
          <t>из исходной сметы</t>
        </is>
      </c>
      <c r="F18" s="10" t="inlineStr">
        <is>
          <t>шт</t>
        </is>
      </c>
      <c r="G18" s="33" t="n">
        <v>2</v>
      </c>
      <c r="H18" s="34" t="n">
        <v>3250000</v>
      </c>
      <c r="I18" s="35" t="n">
        <v>6500000</v>
      </c>
      <c r="J18" s="11" t="inlineStr">
        <is>
          <t>монтаж в металлоконструкцию (прим. 6 л.4)</t>
        </is>
      </c>
    </row>
    <row r="19" ht="18" customHeight="1">
      <c r="A19" s="5" t="n">
        <v>274</v>
      </c>
      <c r="B19" s="6" t="inlineStr">
        <is>
          <t>L3-SAN-007</t>
        </is>
      </c>
      <c r="C19" s="6" t="inlineStr">
        <is>
          <t>Сантехника</t>
        </is>
      </c>
      <c r="D19" s="6" t="inlineStr">
        <is>
          <t>Клавиша смыва инсталляции</t>
        </is>
      </c>
      <c r="E19" s="6" t="inlineStr">
        <is>
          <t>из исходной сметы</t>
        </is>
      </c>
      <c r="F19" s="5" t="inlineStr">
        <is>
          <t>шт</t>
        </is>
      </c>
      <c r="G19" s="30" t="n">
        <v>2</v>
      </c>
      <c r="H19" s="31" t="n">
        <v>650000</v>
      </c>
      <c r="I19" s="32" t="n">
        <v>1300000</v>
      </c>
      <c r="J19" s="6" t="inlineStr">
        <is>
          <t>ДОБАВЛЕНО: в РП нет</t>
        </is>
      </c>
    </row>
    <row r="20" ht="18" customHeight="1">
      <c r="A20" s="10" t="n">
        <v>275</v>
      </c>
      <c r="B20" s="11" t="inlineStr">
        <is>
          <t>L3-SAN-008</t>
        </is>
      </c>
      <c r="C20" s="11" t="inlineStr">
        <is>
          <t>Сантехника</t>
        </is>
      </c>
      <c r="D20" s="11" t="inlineStr">
        <is>
          <t>Смеситель для раковины</t>
        </is>
      </c>
      <c r="E20" s="11" t="inlineStr">
        <is>
          <t>из исходной сметы</t>
        </is>
      </c>
      <c r="F20" s="10" t="inlineStr">
        <is>
          <t>шт</t>
        </is>
      </c>
      <c r="G20" s="33" t="n">
        <v>1</v>
      </c>
      <c r="H20" s="34" t="n">
        <v>1200000</v>
      </c>
      <c r="I20" s="35" t="n">
        <v>1200000</v>
      </c>
      <c r="J20" s="11" t="inlineStr">
        <is>
          <t>ДОБАВЛЕНО: в РП нет</t>
        </is>
      </c>
    </row>
    <row r="21" ht="18" customHeight="1">
      <c r="A21" s="5" t="n">
        <v>277</v>
      </c>
      <c r="B21" s="6" t="inlineStr">
        <is>
          <t>L3-SAN-010</t>
        </is>
      </c>
      <c r="C21" s="6" t="inlineStr">
        <is>
          <t>Сантехника</t>
        </is>
      </c>
      <c r="D21" s="6" t="inlineStr">
        <is>
          <t>Держатель бумаги</t>
        </is>
      </c>
      <c r="E21" s="6" t="inlineStr">
        <is>
          <t>из исходной сметы</t>
        </is>
      </c>
      <c r="F21" s="5" t="inlineStr">
        <is>
          <t>шт</t>
        </is>
      </c>
      <c r="G21" s="30" t="n">
        <v>2</v>
      </c>
      <c r="H21" s="31" t="n">
        <v>250000</v>
      </c>
      <c r="I21" s="32" t="n">
        <v>500000</v>
      </c>
      <c r="J21" s="6" t="inlineStr">
        <is>
          <t>ДОБАВЛЕНО</t>
        </is>
      </c>
    </row>
    <row r="22" ht="18" customHeight="1">
      <c r="A22" s="10" t="n">
        <v>278</v>
      </c>
      <c r="B22" s="11" t="inlineStr">
        <is>
          <t>L3-SAN-011</t>
        </is>
      </c>
      <c r="C22" s="11" t="inlineStr">
        <is>
          <t>Сантехника</t>
        </is>
      </c>
      <c r="D22" s="11" t="inlineStr">
        <is>
          <t>Ведро мусорное с педалью 20 л, нерж.</t>
        </is>
      </c>
      <c r="E22" s="11" t="inlineStr">
        <is>
          <t>из исходной сметы</t>
        </is>
      </c>
      <c r="F22" s="10" t="inlineStr">
        <is>
          <t>шт</t>
        </is>
      </c>
      <c r="G22" s="33" t="n">
        <v>2</v>
      </c>
      <c r="H22" s="34" t="n">
        <v>750000</v>
      </c>
      <c r="I22" s="35" t="n">
        <v>1500000</v>
      </c>
      <c r="J22" s="11" t="inlineStr">
        <is>
          <t>ДОБАВЛЕНО</t>
        </is>
      </c>
    </row>
    <row r="23" ht="18" customHeight="1">
      <c r="A23" s="5" t="n">
        <v>279</v>
      </c>
      <c r="B23" s="6" t="inlineStr">
        <is>
          <t>L3-SAN-012</t>
        </is>
      </c>
      <c r="C23" s="6" t="inlineStr">
        <is>
          <t>Сантехника</t>
        </is>
      </c>
      <c r="D23" s="6" t="inlineStr">
        <is>
          <t>Диспенсер бумажных полотенец</t>
        </is>
      </c>
      <c r="E23" s="6" t="inlineStr">
        <is>
          <t>из исходной сметы</t>
        </is>
      </c>
      <c r="F23" s="5" t="inlineStr">
        <is>
          <t>шт</t>
        </is>
      </c>
      <c r="G23" s="30" t="n">
        <v>1</v>
      </c>
      <c r="H23" s="31" t="n">
        <v>800000</v>
      </c>
      <c r="I23" s="32" t="n">
        <v>800000</v>
      </c>
      <c r="J23" s="6" t="inlineStr">
        <is>
          <t>ДОБАВЛЕНО: С/у 22</t>
        </is>
      </c>
    </row>
    <row r="24" ht="18" customHeight="1">
      <c r="A24" s="10" t="n">
        <v>280</v>
      </c>
      <c r="B24" s="11" t="inlineStr">
        <is>
          <t>L3-SAN-013</t>
        </is>
      </c>
      <c r="C24" s="11" t="inlineStr">
        <is>
          <t>Сантехника</t>
        </is>
      </c>
      <c r="D24" s="11" t="inlineStr">
        <is>
          <t>Дозатор жидкого мыла</t>
        </is>
      </c>
      <c r="E24" s="11" t="inlineStr">
        <is>
          <t>из исходной сметы</t>
        </is>
      </c>
      <c r="F24" s="10" t="inlineStr">
        <is>
          <t>шт</t>
        </is>
      </c>
      <c r="G24" s="33" t="n">
        <v>1</v>
      </c>
      <c r="H24" s="34" t="n">
        <v>500000</v>
      </c>
      <c r="I24" s="35" t="n">
        <v>500000</v>
      </c>
      <c r="J24" s="11" t="inlineStr">
        <is>
          <t>ДОБАВЛЕНО: С/у 22</t>
        </is>
      </c>
    </row>
    <row r="25" ht="18" customHeight="1">
      <c r="A25" s="40" t="inlineStr">
        <is>
          <t>Итого · Сантехника</t>
        </is>
      </c>
      <c r="B25" s="41" t="n"/>
      <c r="C25" s="41" t="n"/>
      <c r="D25" s="41" t="n"/>
      <c r="E25" s="41" t="n"/>
      <c r="F25" s="41" t="n"/>
      <c r="G25" s="41" t="n"/>
      <c r="H25" s="41" t="n"/>
      <c r="I25" s="42">
        <f>SUM(I14:I24)</f>
        <v/>
      </c>
      <c r="J25" s="41" t="n"/>
    </row>
    <row r="26" ht="20" customHeight="1">
      <c r="A26" s="38" t="inlineStr">
        <is>
          <t>Электрика</t>
        </is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</row>
    <row r="27" ht="32" customHeight="1">
      <c r="A27" s="5" t="n">
        <v>283</v>
      </c>
      <c r="B27" s="6" t="inlineStr">
        <is>
          <t>L3-ELE-001</t>
        </is>
      </c>
      <c r="C27" s="6" t="inlineStr">
        <is>
          <t>Электрика</t>
        </is>
      </c>
      <c r="D27" s="6" t="inlineStr">
        <is>
          <t>Розетка одноместная</t>
        </is>
      </c>
      <c r="E27" s="6" t="inlineStr">
        <is>
          <t>из исходной сметы</t>
        </is>
      </c>
      <c r="F27" s="5" t="inlineStr">
        <is>
          <t>шт</t>
        </is>
      </c>
      <c r="G27" s="30" t="n">
        <v>67</v>
      </c>
      <c r="H27" s="31" t="n">
        <v>20400</v>
      </c>
      <c r="I27" s="32" t="n">
        <v>1366800</v>
      </c>
      <c r="J27" s="6" t="inlineStr">
        <is>
          <t>Прим. 18 РП: УГО двойной — 2 шт. Проверить, учтено ли в 67</t>
        </is>
      </c>
    </row>
    <row r="28" ht="18" customHeight="1">
      <c r="A28" s="10" t="n">
        <v>284</v>
      </c>
      <c r="B28" s="11" t="inlineStr">
        <is>
          <t>L3-ELE-002</t>
        </is>
      </c>
      <c r="C28" s="11" t="inlineStr">
        <is>
          <t>Электрика</t>
        </is>
      </c>
      <c r="D28" s="11" t="inlineStr">
        <is>
          <t>Розетка влагозащищённая IP44</t>
        </is>
      </c>
      <c r="E28" s="11" t="inlineStr">
        <is>
          <t>из исходной сметы</t>
        </is>
      </c>
      <c r="F28" s="10" t="inlineStr">
        <is>
          <t>шт</t>
        </is>
      </c>
      <c r="G28" s="33" t="n">
        <v>6</v>
      </c>
      <c r="H28" s="34" t="n">
        <v>27200</v>
      </c>
      <c r="I28" s="35" t="n">
        <v>163200</v>
      </c>
      <c r="J28" s="11" t="inlineStr">
        <is>
          <t>С/у, кухня</t>
        </is>
      </c>
    </row>
    <row r="29" ht="18" customHeight="1">
      <c r="A29" s="5" t="n">
        <v>285</v>
      </c>
      <c r="B29" s="6" t="inlineStr">
        <is>
          <t>L3-ELE-003</t>
        </is>
      </c>
      <c r="C29" s="6" t="inlineStr">
        <is>
          <t>Электрика</t>
        </is>
      </c>
      <c r="D29" s="6" t="inlineStr">
        <is>
          <t>Интернет розетка RJ-45</t>
        </is>
      </c>
      <c r="E29" s="6" t="inlineStr">
        <is>
          <t>из исходной сметы</t>
        </is>
      </c>
      <c r="F29" s="5" t="inlineStr">
        <is>
          <t>шт</t>
        </is>
      </c>
      <c r="G29" s="30" t="n">
        <v>16</v>
      </c>
      <c r="H29" s="31" t="n">
        <v>79000</v>
      </c>
      <c r="I29" s="32" t="n">
        <v>1264000</v>
      </c>
      <c r="J29" s="6" t="n"/>
    </row>
    <row r="30" ht="18" customHeight="1">
      <c r="A30" s="10" t="n">
        <v>286</v>
      </c>
      <c r="B30" s="11" t="inlineStr">
        <is>
          <t>L3-ELE-004</t>
        </is>
      </c>
      <c r="C30" s="11" t="inlineStr">
        <is>
          <t>Электрика</t>
        </is>
      </c>
      <c r="D30" s="11" t="inlineStr">
        <is>
          <t>HDMI розетка</t>
        </is>
      </c>
      <c r="E30" s="11" t="inlineStr">
        <is>
          <t>из исходной сметы</t>
        </is>
      </c>
      <c r="F30" s="10" t="inlineStr">
        <is>
          <t>шт</t>
        </is>
      </c>
      <c r="G30" s="33" t="n">
        <v>3</v>
      </c>
      <c r="H30" s="34" t="n">
        <v>75000</v>
      </c>
      <c r="I30" s="35" t="n">
        <v>225000</v>
      </c>
      <c r="J30" s="11" t="n"/>
    </row>
    <row r="31" ht="18" customHeight="1">
      <c r="A31" s="5" t="n">
        <v>287</v>
      </c>
      <c r="B31" s="6" t="inlineStr">
        <is>
          <t>L3-ELE-005</t>
        </is>
      </c>
      <c r="C31" s="6" t="inlineStr">
        <is>
          <t>Электрика</t>
        </is>
      </c>
      <c r="D31" s="6" t="inlineStr">
        <is>
          <t>Выключатель одноклавишный</t>
        </is>
      </c>
      <c r="E31" s="6" t="inlineStr">
        <is>
          <t>из исходной сметы</t>
        </is>
      </c>
      <c r="F31" s="5" t="inlineStr">
        <is>
          <t>шт</t>
        </is>
      </c>
      <c r="G31" s="30" t="n">
        <v>7</v>
      </c>
      <c r="H31" s="31" t="n">
        <v>20400</v>
      </c>
      <c r="I31" s="32" t="n">
        <v>142800</v>
      </c>
      <c r="J31" s="6" t="n"/>
    </row>
    <row r="32" ht="18" customHeight="1">
      <c r="A32" s="10" t="n">
        <v>288</v>
      </c>
      <c r="B32" s="11" t="inlineStr">
        <is>
          <t>L3-ELE-006</t>
        </is>
      </c>
      <c r="C32" s="11" t="inlineStr">
        <is>
          <t>Электрика</t>
        </is>
      </c>
      <c r="D32" s="11" t="inlineStr">
        <is>
          <t>Выключатель двухклавишный</t>
        </is>
      </c>
      <c r="E32" s="11" t="inlineStr">
        <is>
          <t>из исходной сметы</t>
        </is>
      </c>
      <c r="F32" s="10" t="inlineStr">
        <is>
          <t>шт</t>
        </is>
      </c>
      <c r="G32" s="33" t="n">
        <v>5</v>
      </c>
      <c r="H32" s="34" t="n">
        <v>23100</v>
      </c>
      <c r="I32" s="35" t="n">
        <v>115500</v>
      </c>
      <c r="J32" s="11" t="n"/>
    </row>
    <row r="33" ht="18" customHeight="1">
      <c r="A33" s="5" t="n">
        <v>292</v>
      </c>
      <c r="B33" s="6" t="inlineStr">
        <is>
          <t>L3-ELE-010</t>
        </is>
      </c>
      <c r="C33" s="6" t="inlineStr">
        <is>
          <t>Электрика</t>
        </is>
      </c>
      <c r="D33" s="6" t="inlineStr">
        <is>
          <t>Рамка 1 пост</t>
        </is>
      </c>
      <c r="E33" s="6" t="inlineStr">
        <is>
          <t>из исходной сметы</t>
        </is>
      </c>
      <c r="F33" s="5" t="inlineStr">
        <is>
          <t>шт</t>
        </is>
      </c>
      <c r="G33" s="30" t="n">
        <v>22</v>
      </c>
      <c r="H33" s="31" t="n">
        <v>6100</v>
      </c>
      <c r="I33" s="32" t="n">
        <v>134200</v>
      </c>
      <c r="J33" s="6" t="n"/>
    </row>
    <row r="34" ht="18" customHeight="1">
      <c r="A34" s="10" t="n">
        <v>293</v>
      </c>
      <c r="B34" s="11" t="inlineStr">
        <is>
          <t>L3-ELE-011</t>
        </is>
      </c>
      <c r="C34" s="11" t="inlineStr">
        <is>
          <t>Электрика</t>
        </is>
      </c>
      <c r="D34" s="11" t="inlineStr">
        <is>
          <t>Рамка 2 поста</t>
        </is>
      </c>
      <c r="E34" s="11" t="inlineStr">
        <is>
          <t>из исходной сметы</t>
        </is>
      </c>
      <c r="F34" s="10" t="inlineStr">
        <is>
          <t>шт</t>
        </is>
      </c>
      <c r="G34" s="33" t="n">
        <v>16</v>
      </c>
      <c r="H34" s="34" t="n">
        <v>16300</v>
      </c>
      <c r="I34" s="35" t="n">
        <v>260800</v>
      </c>
      <c r="J34" s="11" t="n"/>
    </row>
    <row r="35" ht="18" customHeight="1">
      <c r="A35" s="5" t="n">
        <v>295</v>
      </c>
      <c r="B35" s="6" t="inlineStr">
        <is>
          <t>L3-ELE-013</t>
        </is>
      </c>
      <c r="C35" s="6" t="inlineStr">
        <is>
          <t>Электрика</t>
        </is>
      </c>
      <c r="D35" s="6" t="inlineStr">
        <is>
          <t>Рамка 4 поста</t>
        </is>
      </c>
      <c r="E35" s="6" t="inlineStr">
        <is>
          <t>из исходной сметы</t>
        </is>
      </c>
      <c r="F35" s="5" t="inlineStr">
        <is>
          <t>шт</t>
        </is>
      </c>
      <c r="G35" s="30" t="n">
        <v>1</v>
      </c>
      <c r="H35" s="31" t="n">
        <v>25900</v>
      </c>
      <c r="I35" s="32" t="n">
        <v>25900</v>
      </c>
      <c r="J35" s="6" t="n"/>
    </row>
    <row r="36" ht="18" customHeight="1">
      <c r="A36" s="40" t="inlineStr">
        <is>
          <t>Итого · Электрика</t>
        </is>
      </c>
      <c r="B36" s="41" t="n"/>
      <c r="C36" s="41" t="n"/>
      <c r="D36" s="41" t="n"/>
      <c r="E36" s="41" t="n"/>
      <c r="F36" s="41" t="n"/>
      <c r="G36" s="41" t="n"/>
      <c r="H36" s="41" t="n"/>
      <c r="I36" s="42">
        <f>SUM(I27:I35)</f>
        <v/>
      </c>
      <c r="J36" s="41" t="n"/>
    </row>
    <row r="37" ht="20" customHeight="1">
      <c r="A37" s="38" t="inlineStr">
        <is>
          <t>Освещение и LED</t>
        </is>
      </c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</row>
    <row r="38" ht="32" customHeight="1">
      <c r="A38" s="10" t="n">
        <v>300</v>
      </c>
      <c r="B38" s="11" t="inlineStr">
        <is>
          <t>L3-LGT-003</t>
        </is>
      </c>
      <c r="C38" s="11" t="inlineStr">
        <is>
          <t>Освещение и LED</t>
        </is>
      </c>
      <c r="D38" s="11" t="inlineStr">
        <is>
          <t>Трек 2000 мм, подвес 340 мм + 2 спота (споты — L-7)</t>
        </is>
      </c>
      <c r="E38" s="11" t="inlineStr">
        <is>
          <t>из исходной сметы</t>
        </is>
      </c>
      <c r="F38" s="10" t="inlineStr">
        <is>
          <t>шт</t>
        </is>
      </c>
      <c r="G38" s="33" t="n">
        <v>1</v>
      </c>
      <c r="H38" s="34" t="n">
        <v>218100</v>
      </c>
      <c r="I38" s="35" t="n">
        <v>218100</v>
      </c>
      <c r="J38" s="11" t="n"/>
    </row>
    <row r="39" ht="32" customHeight="1">
      <c r="A39" s="5" t="n">
        <v>301</v>
      </c>
      <c r="B39" s="6" t="inlineStr">
        <is>
          <t>L3-LGT-004</t>
        </is>
      </c>
      <c r="C39" s="6" t="inlineStr">
        <is>
          <t>Освещение и LED</t>
        </is>
      </c>
      <c r="D39" s="6" t="inlineStr">
        <is>
          <t>Спот трековый поворотный</t>
        </is>
      </c>
      <c r="E39" s="6" t="inlineStr">
        <is>
          <t>из исходной сметы</t>
        </is>
      </c>
      <c r="F39" s="5" t="inlineStr">
        <is>
          <t>шт</t>
        </is>
      </c>
      <c r="G39" s="30" t="n">
        <v>26</v>
      </c>
      <c r="H39" s="31" t="n">
        <v>177200</v>
      </c>
      <c r="I39" s="32" t="n">
        <v>4607200</v>
      </c>
      <c r="J39" s="6" t="inlineStr">
        <is>
          <t>26 = 3×4 + 4×3 + 1×2 — это споты треков L-4…L-6. НЕ закупать дважды</t>
        </is>
      </c>
    </row>
    <row r="40" ht="32" customHeight="1">
      <c r="A40" s="10" t="n">
        <v>302</v>
      </c>
      <c r="B40" s="11" t="inlineStr">
        <is>
          <t>L3-LGT-005</t>
        </is>
      </c>
      <c r="C40" s="11" t="inlineStr">
        <is>
          <t>Освещение и LED</t>
        </is>
      </c>
      <c r="D40" s="11" t="inlineStr">
        <is>
          <t>Светильник точечный</t>
        </is>
      </c>
      <c r="E40" s="11" t="inlineStr">
        <is>
          <t>из исходной сметы</t>
        </is>
      </c>
      <c r="F40" s="10" t="inlineStr">
        <is>
          <t>шт</t>
        </is>
      </c>
      <c r="G40" s="33" t="n">
        <v>28</v>
      </c>
      <c r="H40" s="34" t="n">
        <v>218100</v>
      </c>
      <c r="I40" s="35" t="n">
        <v>6106800</v>
      </c>
      <c r="J40" s="11" t="inlineStr">
        <is>
          <t>цена накладного из фитнеса; в сетку cf-1 может понадобиться встраиваемый — уточнить</t>
        </is>
      </c>
    </row>
    <row r="41" ht="32" customHeight="1">
      <c r="A41" s="5" t="n">
        <v>308</v>
      </c>
      <c r="B41" s="6" t="inlineStr">
        <is>
          <t>L3-LGT-011</t>
        </is>
      </c>
      <c r="C41" s="6" t="inlineStr">
        <is>
          <t>Освещение и LED</t>
        </is>
      </c>
      <c r="D41" s="6" t="inlineStr">
        <is>
          <t>Светильник аварийный с БАП</t>
        </is>
      </c>
      <c r="E41" s="6" t="inlineStr">
        <is>
          <t>из исходной сметы</t>
        </is>
      </c>
      <c r="F41" s="5" t="inlineStr">
        <is>
          <t>шт</t>
        </is>
      </c>
      <c r="G41" s="30" t="n">
        <v>4</v>
      </c>
      <c r="H41" s="31" t="n">
        <v>163600</v>
      </c>
      <c r="I41" s="32" t="n">
        <v>654400</v>
      </c>
      <c r="J41" s="6" t="inlineStr">
        <is>
          <t>ДОБАВЛЕНО: коридор, ЛК, пути эвакуации — в пределах нормы</t>
        </is>
      </c>
    </row>
    <row r="42" ht="18" customHeight="1">
      <c r="A42" s="10" t="n">
        <v>309</v>
      </c>
      <c r="B42" s="11" t="inlineStr">
        <is>
          <t>L3-LGT-012</t>
        </is>
      </c>
      <c r="C42" s="11" t="inlineStr">
        <is>
          <t>Освещение и LED</t>
        </is>
      </c>
      <c r="D42" s="11" t="inlineStr">
        <is>
          <t>Указатель «ВЫХОД» с БАП</t>
        </is>
      </c>
      <c r="E42" s="11" t="inlineStr">
        <is>
          <t>из исходной сметы</t>
        </is>
      </c>
      <c r="F42" s="10" t="inlineStr">
        <is>
          <t>шт</t>
        </is>
      </c>
      <c r="G42" s="33" t="n">
        <v>2</v>
      </c>
      <c r="H42" s="34" t="n">
        <v>163600</v>
      </c>
      <c r="I42" s="35" t="n">
        <v>327200</v>
      </c>
      <c r="J42" s="11" t="inlineStr">
        <is>
          <t>ДОБАВЛЕНО: у выхода на лестницу</t>
        </is>
      </c>
    </row>
    <row r="43" ht="32" customHeight="1">
      <c r="A43" s="5" t="n">
        <v>310</v>
      </c>
      <c r="B43" s="6" t="inlineStr">
        <is>
          <t>L3-LGT-013</t>
        </is>
      </c>
      <c r="C43" s="6" t="inlineStr">
        <is>
          <t>Освещение и LED</t>
        </is>
      </c>
      <c r="D43" s="6" t="inlineStr">
        <is>
          <t>LED-лента в скрытом плинтусе Пл-1</t>
        </is>
      </c>
      <c r="E43" s="6" t="inlineStr">
        <is>
          <t>из исходной сметы</t>
        </is>
      </c>
      <c r="F43" s="5" t="inlineStr">
        <is>
          <t>м</t>
        </is>
      </c>
      <c r="G43" s="30" t="n">
        <v>56.6</v>
      </c>
      <c r="H43" s="31" t="n">
        <v>21800</v>
      </c>
      <c r="I43" s="32" t="n">
        <v>1233880</v>
      </c>
      <c r="J43" s="6" t="inlineStr">
        <is>
          <t>метраж = плинтус л.18; профиль плинтуса — лист «Отделка»</t>
        </is>
      </c>
    </row>
    <row r="44" ht="18" customHeight="1">
      <c r="A44" s="10" t="n">
        <v>312</v>
      </c>
      <c r="B44" s="11" t="inlineStr">
        <is>
          <t>L3-LGT-015</t>
        </is>
      </c>
      <c r="C44" s="11" t="inlineStr">
        <is>
          <t>Освещение и LED</t>
        </is>
      </c>
      <c r="D44" s="11" t="inlineStr">
        <is>
          <t>Блок питания трека 200 Вт</t>
        </is>
      </c>
      <c r="E44" s="11" t="inlineStr">
        <is>
          <t>из исходной сметы</t>
        </is>
      </c>
      <c r="F44" s="10" t="inlineStr">
        <is>
          <t>шт</t>
        </is>
      </c>
      <c r="G44" s="33" t="n">
        <v>3</v>
      </c>
      <c r="H44" s="34" t="n">
        <v>231800</v>
      </c>
      <c r="I44" s="35" t="n">
        <v>695400</v>
      </c>
      <c r="J44" s="11" t="inlineStr">
        <is>
          <t>уточнить мощность спота</t>
        </is>
      </c>
    </row>
    <row r="45" ht="32" customHeight="1">
      <c r="A45" s="5" t="n">
        <v>313</v>
      </c>
      <c r="B45" s="6" t="inlineStr">
        <is>
          <t>L3-LGT-016</t>
        </is>
      </c>
      <c r="C45" s="6" t="inlineStr">
        <is>
          <t>Освещение и LED</t>
        </is>
      </c>
      <c r="D45" s="6" t="inlineStr">
        <is>
          <t>Блок питания LED-ленты 200 Вт</t>
        </is>
      </c>
      <c r="E45" s="6" t="inlineStr">
        <is>
          <t>из исходной сметы</t>
        </is>
      </c>
      <c r="F45" s="5" t="inlineStr">
        <is>
          <t>шт</t>
        </is>
      </c>
      <c r="G45" s="30" t="n">
        <v>5</v>
      </c>
      <c r="H45" s="31" t="n">
        <v>163600</v>
      </c>
      <c r="I45" s="32" t="n">
        <v>818000</v>
      </c>
      <c r="J45" s="6" t="inlineStr">
        <is>
          <t>прим. 12 РП: трансформаторы вывести в электрощиток</t>
        </is>
      </c>
    </row>
    <row r="46" ht="18" customHeight="1">
      <c r="A46" s="10" t="n">
        <v>314</v>
      </c>
      <c r="B46" s="11" t="inlineStr">
        <is>
          <t>L3-LGT-017</t>
        </is>
      </c>
      <c r="C46" s="11" t="inlineStr">
        <is>
          <t>Освещение и LED</t>
        </is>
      </c>
      <c r="D46" s="11" t="inlineStr">
        <is>
          <t>Подвес тросовый для трека (комплект)</t>
        </is>
      </c>
      <c r="E46" s="11" t="inlineStr">
        <is>
          <t>из исходной сметы</t>
        </is>
      </c>
      <c r="F46" s="10" t="inlineStr">
        <is>
          <t>компл</t>
        </is>
      </c>
      <c r="G46" s="33" t="n">
        <v>14</v>
      </c>
      <c r="H46" s="34" t="n">
        <v>34000</v>
      </c>
      <c r="I46" s="35" t="n">
        <v>476000</v>
      </c>
      <c r="J46" s="11" t="n"/>
    </row>
    <row r="47" ht="32" customHeight="1">
      <c r="A47" s="5" t="n">
        <v>315</v>
      </c>
      <c r="B47" s="6" t="inlineStr">
        <is>
          <t>L3-LGT-018</t>
        </is>
      </c>
      <c r="C47" s="6" t="inlineStr">
        <is>
          <t>Освещение и LED</t>
        </is>
      </c>
      <c r="D47" s="6" t="inlineStr">
        <is>
          <t>Подвес тросовый для линейных L-9, L-10 (по 2 на светильник)</t>
        </is>
      </c>
      <c r="E47" s="6" t="inlineStr">
        <is>
          <t>из исходной сметы</t>
        </is>
      </c>
      <c r="F47" s="5" t="inlineStr">
        <is>
          <t>шт</t>
        </is>
      </c>
      <c r="G47" s="30" t="n">
        <v>104</v>
      </c>
      <c r="H47" s="31" t="n">
        <v>34000</v>
      </c>
      <c r="I47" s="32" t="n">
        <v>3536000</v>
      </c>
      <c r="J47" s="6" t="inlineStr">
        <is>
          <t>ДОБАВЛЕНО: только если не в комплекте светильника — спросить поставщика</t>
        </is>
      </c>
    </row>
    <row r="48" ht="18" customHeight="1">
      <c r="A48" s="40" t="inlineStr">
        <is>
          <t>Итого · Освещение и LED</t>
        </is>
      </c>
      <c r="B48" s="41" t="n"/>
      <c r="C48" s="41" t="n"/>
      <c r="D48" s="41" t="n"/>
      <c r="E48" s="41" t="n"/>
      <c r="F48" s="41" t="n"/>
      <c r="G48" s="41" t="n"/>
      <c r="H48" s="41" t="n"/>
      <c r="I48" s="42">
        <f>SUM(I38:I47)</f>
        <v/>
      </c>
      <c r="J48" s="41" t="n"/>
    </row>
    <row r="49" ht="20" customHeight="1">
      <c r="A49" s="38" t="inlineStr">
        <is>
          <t>Отделка (стены, потолок, полы)</t>
        </is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</row>
    <row r="50" ht="32" customHeight="1">
      <c r="A50" s="10" t="n">
        <v>318</v>
      </c>
      <c r="B50" s="11" t="inlineStr">
        <is>
          <t>L3-FIN-001</t>
        </is>
      </c>
      <c r="C50" s="11" t="inlineStr">
        <is>
          <t>Отделка (стены, потолок, полы)</t>
        </is>
      </c>
      <c r="D50" s="11" t="inlineStr">
        <is>
          <t>Покраска белая RAL 9010</t>
        </is>
      </c>
      <c r="E50" s="11" t="inlineStr">
        <is>
          <t>из исходной сметы</t>
        </is>
      </c>
      <c r="F50" s="10" t="inlineStr">
        <is>
          <t>м²</t>
        </is>
      </c>
      <c r="G50" s="33" t="n">
        <v>141.2</v>
      </c>
      <c r="H50" s="34" t="n">
        <v>28500</v>
      </c>
      <c r="I50" s="35" t="n">
        <v>4024200</v>
      </c>
      <c r="J50" s="11" t="inlineStr">
        <is>
          <t>в фитнесе окраска 19 300–29 400 сум/м² по цвету, для белой цены нет</t>
        </is>
      </c>
    </row>
    <row r="51" ht="18" customHeight="1">
      <c r="A51" s="5" t="n">
        <v>319</v>
      </c>
      <c r="B51" s="6" t="inlineStr">
        <is>
          <t>L3-FIN-002</t>
        </is>
      </c>
      <c r="C51" s="6" t="inlineStr">
        <is>
          <t>Отделка (стены, потолок, полы)</t>
        </is>
      </c>
      <c r="D51" s="6" t="inlineStr">
        <is>
          <t>Панель МДФ под дерево</t>
        </is>
      </c>
      <c r="E51" s="6" t="inlineStr">
        <is>
          <t>из исходной сметы</t>
        </is>
      </c>
      <c r="F51" s="5" t="inlineStr">
        <is>
          <t>м²</t>
        </is>
      </c>
      <c r="G51" s="30" t="n">
        <v>12.9</v>
      </c>
      <c r="H51" s="31" t="n">
        <v>350000</v>
      </c>
      <c r="I51" s="32" t="n">
        <v>4515000</v>
      </c>
      <c r="J51" s="6" t="inlineStr">
        <is>
          <t>колонны, обрамления</t>
        </is>
      </c>
    </row>
    <row r="52" ht="18" customHeight="1">
      <c r="A52" s="10" t="n">
        <v>323</v>
      </c>
      <c r="B52" s="11" t="inlineStr">
        <is>
          <t>L3-FIN-006</t>
        </is>
      </c>
      <c r="C52" s="11" t="inlineStr">
        <is>
          <t>Отделка (стены, потолок, полы)</t>
        </is>
      </c>
      <c r="D52" s="11" t="inlineStr">
        <is>
          <t>Панель бамбуковая тип 1</t>
        </is>
      </c>
      <c r="E52" s="11" t="inlineStr">
        <is>
          <t>из исходной сметы</t>
        </is>
      </c>
      <c r="F52" s="10" t="inlineStr">
        <is>
          <t>м²</t>
        </is>
      </c>
      <c r="G52" s="33" t="n">
        <v>57.1</v>
      </c>
      <c r="H52" s="34" t="n">
        <v>350000</v>
      </c>
      <c r="I52" s="35" t="n">
        <v>19985000</v>
      </c>
      <c r="J52" s="11" t="n"/>
    </row>
    <row r="53" ht="32" customHeight="1">
      <c r="A53" s="5" t="n">
        <v>324</v>
      </c>
      <c r="B53" s="6" t="inlineStr">
        <is>
          <t>L3-FIN-007</t>
        </is>
      </c>
      <c r="C53" s="6" t="inlineStr">
        <is>
          <t>Отделка (стены, потолок, полы)</t>
        </is>
      </c>
      <c r="D53" s="6" t="inlineStr">
        <is>
          <t>Панель бамбуковая тип 2, окраска RAL 3022</t>
        </is>
      </c>
      <c r="E53" s="6" t="inlineStr">
        <is>
          <t>из исходной сметы</t>
        </is>
      </c>
      <c r="F53" s="5" t="inlineStr">
        <is>
          <t>м²</t>
        </is>
      </c>
      <c r="G53" s="30" t="n">
        <v>19.4</v>
      </c>
      <c r="H53" s="31" t="n">
        <v>350000</v>
      </c>
      <c r="I53" s="32" t="n">
        <v>6790000</v>
      </c>
      <c r="J53" s="6" t="inlineStr">
        <is>
          <t>окраска панели в цвет — уточнить у поставщика</t>
        </is>
      </c>
    </row>
    <row r="54" ht="18" customHeight="1">
      <c r="A54" s="10" t="n">
        <v>326</v>
      </c>
      <c r="B54" s="11" t="inlineStr">
        <is>
          <t>L3-FIN-009</t>
        </is>
      </c>
      <c r="C54" s="11" t="inlineStr">
        <is>
          <t>Отделка (стены, потолок, полы)</t>
        </is>
      </c>
      <c r="D54" s="11" t="inlineStr">
        <is>
          <t>Панель бамбуковая тип 4, белая RAL 9010</t>
        </is>
      </c>
      <c r="E54" s="11" t="inlineStr">
        <is>
          <t>из исходной сметы</t>
        </is>
      </c>
      <c r="F54" s="10" t="inlineStr">
        <is>
          <t>м²</t>
        </is>
      </c>
      <c r="G54" s="33" t="n">
        <v>46.4</v>
      </c>
      <c r="H54" s="34" t="n">
        <v>350000</v>
      </c>
      <c r="I54" s="35" t="n">
        <v>16240000</v>
      </c>
      <c r="J54" s="11" t="n"/>
    </row>
    <row r="55" ht="18" customHeight="1">
      <c r="A55" s="5" t="n">
        <v>327</v>
      </c>
      <c r="B55" s="6" t="inlineStr">
        <is>
          <t>L3-FIN-010</t>
        </is>
      </c>
      <c r="C55" s="6" t="inlineStr">
        <is>
          <t>Отделка (стены, потолок, полы)</t>
        </is>
      </c>
      <c r="D55" s="6" t="inlineStr">
        <is>
          <t>Керамогранит тип 5 1200×600 — стены С/у</t>
        </is>
      </c>
      <c r="E55" s="6" t="inlineStr">
        <is>
          <t>из исходной сметы</t>
        </is>
      </c>
      <c r="F55" s="5" t="inlineStr">
        <is>
          <t>м²</t>
        </is>
      </c>
      <c r="G55" s="30" t="n">
        <v>56.9</v>
      </c>
      <c r="H55" s="31" t="n">
        <v>395000</v>
      </c>
      <c r="I55" s="32" t="n">
        <v>22475500</v>
      </c>
      <c r="J55" s="6" t="inlineStr">
        <is>
          <t>одна партия с НП-1 (один тон и калибр)</t>
        </is>
      </c>
    </row>
    <row r="56" ht="18" customHeight="1">
      <c r="A56" s="10" t="n">
        <v>328</v>
      </c>
      <c r="B56" s="11" t="inlineStr">
        <is>
          <t>L3-FIN-011</t>
        </is>
      </c>
      <c r="C56" s="11" t="inlineStr">
        <is>
          <t>Отделка (стены, потолок, полы)</t>
        </is>
      </c>
      <c r="D56" s="11" t="inlineStr">
        <is>
          <t>Керамогранит тип 6 600×600 — фартук кухни</t>
        </is>
      </c>
      <c r="E56" s="11" t="inlineStr">
        <is>
          <t>из исходной сметы</t>
        </is>
      </c>
      <c r="F56" s="10" t="inlineStr">
        <is>
          <t>м²</t>
        </is>
      </c>
      <c r="G56" s="33" t="n">
        <v>2.1</v>
      </c>
      <c r="H56" s="34" t="n">
        <v>395000</v>
      </c>
      <c r="I56" s="35" t="n">
        <v>829500</v>
      </c>
      <c r="J56" s="11" t="inlineStr">
        <is>
          <t>одна партия с НП-3</t>
        </is>
      </c>
    </row>
    <row r="57" ht="32" customHeight="1">
      <c r="A57" s="5" t="n">
        <v>339</v>
      </c>
      <c r="B57" s="6" t="inlineStr">
        <is>
          <t>L3-FIN-022</t>
        </is>
      </c>
      <c r="C57" s="6" t="inlineStr">
        <is>
          <t>Отделка (стены, потолок, полы)</t>
        </is>
      </c>
      <c r="D57" s="6" t="inlineStr">
        <is>
          <t>Гидроизоляция обмазочная — С/у 22, 24, 25 (пол + заход на стены)</t>
        </is>
      </c>
      <c r="E57" s="6" t="inlineStr">
        <is>
          <t>из исходной сметы</t>
        </is>
      </c>
      <c r="F57" s="5" t="inlineStr">
        <is>
          <t>м²</t>
        </is>
      </c>
      <c r="G57" s="30" t="n">
        <v>18</v>
      </c>
      <c r="H57" s="31" t="n">
        <v>80000</v>
      </c>
      <c r="I57" s="32" t="n">
        <v>1440000</v>
      </c>
      <c r="J57" s="6" t="inlineStr">
        <is>
          <t>ДОБАВЛЕНО: как в фитнесе</t>
        </is>
      </c>
    </row>
    <row r="58" ht="18" customHeight="1">
      <c r="A58" s="40" t="inlineStr">
        <is>
          <t>Итого · Отделка (стены, потолок, полы)</t>
        </is>
      </c>
      <c r="B58" s="41" t="n"/>
      <c r="C58" s="41" t="n"/>
      <c r="D58" s="41" t="n"/>
      <c r="E58" s="41" t="n"/>
      <c r="F58" s="41" t="n"/>
      <c r="G58" s="41" t="n"/>
      <c r="H58" s="41" t="n"/>
      <c r="I58" s="42">
        <f>SUM(I50:I57)</f>
        <v/>
      </c>
      <c r="J58" s="41" t="n"/>
    </row>
    <row r="60" ht="24" customHeight="1">
      <c r="A60" s="15" t="inlineStr">
        <is>
          <t>ИТОГО точные  ·  43 поз.</t>
        </is>
      </c>
      <c r="B60" s="37" t="n"/>
      <c r="C60" s="37" t="n"/>
      <c r="D60" s="37" t="n"/>
      <c r="E60" s="37" t="n"/>
      <c r="F60" s="37" t="n"/>
      <c r="G60" s="37" t="n"/>
      <c r="H60" s="37" t="n"/>
      <c r="I60" s="18">
        <f>I12+I25+I36+I48+I58</f>
        <v/>
      </c>
      <c r="J60" s="37" t="n"/>
    </row>
  </sheetData>
  <mergeCells count="14">
    <mergeCell ref="A12:H12"/>
    <mergeCell ref="A1:J1"/>
    <mergeCell ref="A37:J37"/>
    <mergeCell ref="A48:H48"/>
    <mergeCell ref="A6:J6"/>
    <mergeCell ref="A25:H25"/>
    <mergeCell ref="A3:J3"/>
    <mergeCell ref="A60:H60"/>
    <mergeCell ref="A36:H36"/>
    <mergeCell ref="A26:J26"/>
    <mergeCell ref="A2:J2"/>
    <mergeCell ref="A58:H58"/>
    <mergeCell ref="A13:J13"/>
    <mergeCell ref="A49:J49"/>
  </mergeCells>
  <pageMargins left="0.4" right="0.4" top="0.5" bottom="0.5" header="0.2" footer="0.2"/>
  <pageSetup orientation="landscape" paperSize="9" fitToHeight="0" fitToWidth="1"/>
  <headerFooter>
    <oddHeader>&amp;LTemiroff Edifice · точные цены&amp;CТочные цены</oddHeader>
    <oddFooter>&amp;RСрез сметы 04.10.2026  |  стр.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10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4" customHeight="1">
      <c r="A1" s="27" t="inlineStr">
        <is>
          <t>Точные цены</t>
        </is>
      </c>
    </row>
    <row r="2" ht="18" customHeight="1">
      <c r="A2" s="28" t="inlineStr">
        <is>
          <t>крыша · Терраса · 209,87 м²</t>
        </is>
      </c>
    </row>
    <row r="3" ht="32" customHeight="1">
      <c r="A3" s="29" t="inlineStr">
        <is>
          <t>Только точные цены (зелёные на сайте). Примерные позиции в этот лист не входят. Срез сметы 04.10.2026.</t>
        </is>
      </c>
    </row>
    <row r="4" ht="8" customHeight="1"/>
    <row r="5" ht="22" customHeight="1">
      <c r="A5" s="4" t="inlineStr">
        <is>
          <t>№</t>
        </is>
      </c>
      <c r="B5" s="4" t="inlineStr">
        <is>
          <t>Код</t>
        </is>
      </c>
      <c r="C5" s="4" t="inlineStr">
        <is>
          <t>Раздел</t>
        </is>
      </c>
      <c r="D5" s="4" t="inlineStr">
        <is>
          <t>Наименование</t>
        </is>
      </c>
      <c r="E5" s="4" t="inlineStr">
        <is>
          <t>Спецификация</t>
        </is>
      </c>
      <c r="F5" s="4" t="inlineStr">
        <is>
          <t>Ед.</t>
        </is>
      </c>
      <c r="G5" s="4" t="inlineStr">
        <is>
          <t>Кол-во</t>
        </is>
      </c>
      <c r="H5" s="4" t="inlineStr">
        <is>
          <t>Цена, сум</t>
        </is>
      </c>
      <c r="I5" s="4" t="inlineStr">
        <is>
          <t>Сумма, сум</t>
        </is>
      </c>
      <c r="J5" s="4" t="inlineStr">
        <is>
          <t>Примечание</t>
        </is>
      </c>
    </row>
    <row r="6" ht="20" customHeight="1">
      <c r="A6" s="38" t="inlineStr">
        <is>
          <t>Перегородки, двери, остекление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</row>
    <row r="7" ht="32" customHeight="1">
      <c r="A7" s="5" t="n">
        <v>377</v>
      </c>
      <c r="B7" s="6" t="inlineStr">
        <is>
          <t>L4-PER-004</t>
        </is>
      </c>
      <c r="C7" s="6" t="inlineStr">
        <is>
          <t>Перегородки, двери, остекление</t>
        </is>
      </c>
      <c r="D7" s="6" t="inlineStr">
        <is>
          <t>Витраж h 3000: раздвижная система Imzo, алюм. профиль, 18 мм, с фурнитурой</t>
        </is>
      </c>
      <c r="E7" s="6" t="inlineStr">
        <is>
          <t>из сметы: общая 128 000 000 / 83 м²</t>
        </is>
      </c>
      <c r="F7" s="5" t="inlineStr">
        <is>
          <t>м²</t>
        </is>
      </c>
      <c r="G7" s="30" t="n">
        <v>83</v>
      </c>
      <c r="H7" s="31" t="n">
        <v>1542169</v>
      </c>
      <c r="I7" s="32" t="n">
        <v>128000000</v>
      </c>
      <c r="J7" s="6" t="inlineStr">
        <is>
          <t>83 м² ≈ длина по развёрткам ~29 м × ~2,85 м. Цена — комплект, вариант 2 Imzo, выбран 07.09.2026</t>
        </is>
      </c>
    </row>
    <row r="8" ht="18" customHeight="1">
      <c r="A8" s="40" t="inlineStr">
        <is>
          <t>Итого · Перегородки, двери, остекление</t>
        </is>
      </c>
      <c r="B8" s="41" t="n"/>
      <c r="C8" s="41" t="n"/>
      <c r="D8" s="41" t="n"/>
      <c r="E8" s="41" t="n"/>
      <c r="F8" s="41" t="n"/>
      <c r="G8" s="41" t="n"/>
      <c r="H8" s="41" t="n"/>
      <c r="I8" s="42">
        <f>SUM(I7:I7)</f>
        <v/>
      </c>
      <c r="J8" s="41" t="n"/>
    </row>
    <row r="9" ht="20" customHeight="1">
      <c r="A9" s="38" t="inlineStr">
        <is>
          <t>Сантехника</t>
        </is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</row>
    <row r="10" ht="32" customHeight="1">
      <c r="A10" s="10" t="n">
        <v>380</v>
      </c>
      <c r="B10" s="11" t="inlineStr">
        <is>
          <t>L4-SAN-001</t>
        </is>
      </c>
      <c r="C10" s="11" t="inlineStr">
        <is>
          <t>Сантехника</t>
        </is>
      </c>
      <c r="D10" s="11" t="inlineStr">
        <is>
          <t>Смеситель</t>
        </is>
      </c>
      <c r="E10" s="11" t="inlineStr">
        <is>
          <t>из исходной сметы</t>
        </is>
      </c>
      <c r="F10" s="10" t="inlineStr">
        <is>
          <t>шт</t>
        </is>
      </c>
      <c r="G10" s="33" t="n">
        <v>1</v>
      </c>
      <c r="H10" s="34" t="n">
        <v>1200000</v>
      </c>
      <c r="I10" s="35" t="n">
        <v>1200000</v>
      </c>
      <c r="J10" s="11" t="inlineStr">
        <is>
          <t>бар, мойка С6. Цена: «Кухонный смеситель» (таблица сантехники)</t>
        </is>
      </c>
    </row>
    <row r="11" ht="32" customHeight="1">
      <c r="A11" s="5" t="n">
        <v>381</v>
      </c>
      <c r="B11" s="6" t="inlineStr">
        <is>
          <t>L4-SAN-002</t>
        </is>
      </c>
      <c r="C11" s="6" t="inlineStr">
        <is>
          <t>Сантехника</t>
        </is>
      </c>
      <c r="D11" s="6" t="inlineStr">
        <is>
          <t>Смеситель настенный</t>
        </is>
      </c>
      <c r="E11" s="6" t="inlineStr">
        <is>
          <t>из исходной сметы</t>
        </is>
      </c>
      <c r="F11" s="5" t="inlineStr">
        <is>
          <t>шт</t>
        </is>
      </c>
      <c r="G11" s="30" t="n">
        <v>1</v>
      </c>
      <c r="H11" s="31" t="n">
        <v>900000</v>
      </c>
      <c r="I11" s="32" t="n">
        <v>900000</v>
      </c>
      <c r="J11" s="6" t="inlineStr">
        <is>
          <t>санузел, над С3. Цена: «Накладной смеситель» — все 3 типа по 900 000</t>
        </is>
      </c>
    </row>
    <row r="12" ht="32" customHeight="1">
      <c r="A12" s="10" t="n">
        <v>382</v>
      </c>
      <c r="B12" s="11" t="inlineStr">
        <is>
          <t>L4-SAN-003</t>
        </is>
      </c>
      <c r="C12" s="11" t="inlineStr">
        <is>
          <t>Сантехника</t>
        </is>
      </c>
      <c r="D12" s="11" t="inlineStr">
        <is>
          <t>Раковина</t>
        </is>
      </c>
      <c r="E12" s="11" t="inlineStr">
        <is>
          <t>из исходной сметы</t>
        </is>
      </c>
      <c r="F12" s="10" t="inlineStr">
        <is>
          <t>шт</t>
        </is>
      </c>
      <c r="G12" s="33" t="n">
        <v>1</v>
      </c>
      <c r="H12" s="34" t="n">
        <v>1300000</v>
      </c>
      <c r="I12" s="35" t="n">
        <v>1300000</v>
      </c>
      <c r="J12" s="11" t="inlineStr">
        <is>
          <t>санузел, накладная на тумбе М2. Цена: «Накладная раковина в С/У 600×400» — размер нашей раковины уточнить</t>
        </is>
      </c>
    </row>
    <row r="13" ht="18" customHeight="1">
      <c r="A13" s="5" t="n">
        <v>383</v>
      </c>
      <c r="B13" s="6" t="inlineStr">
        <is>
          <t>L4-SAN-004</t>
        </is>
      </c>
      <c r="C13" s="6" t="inlineStr">
        <is>
          <t>Сантехника</t>
        </is>
      </c>
      <c r="D13" s="6" t="inlineStr">
        <is>
          <t>Унитаз подвесной</t>
        </is>
      </c>
      <c r="E13" s="6" t="inlineStr">
        <is>
          <t>из исходной сметы</t>
        </is>
      </c>
      <c r="F13" s="5" t="inlineStr">
        <is>
          <t>шт</t>
        </is>
      </c>
      <c r="G13" s="30" t="n">
        <v>1</v>
      </c>
      <c r="H13" s="31" t="n">
        <v>2500000</v>
      </c>
      <c r="I13" s="32" t="n">
        <v>2500000</v>
      </c>
      <c r="J13" s="6" t="inlineStr">
        <is>
          <t>санузел. Цена: таблица сантехники</t>
        </is>
      </c>
    </row>
    <row r="14" ht="18" customHeight="1">
      <c r="A14" s="10" t="n">
        <v>384</v>
      </c>
      <c r="B14" s="11" t="inlineStr">
        <is>
          <t>L4-SAN-005</t>
        </is>
      </c>
      <c r="C14" s="11" t="inlineStr">
        <is>
          <t>Сантехника</t>
        </is>
      </c>
      <c r="D14" s="11" t="inlineStr">
        <is>
          <t>Инсталляция для унитаза</t>
        </is>
      </c>
      <c r="E14" s="11" t="inlineStr">
        <is>
          <t>из исходной сметы</t>
        </is>
      </c>
      <c r="F14" s="10" t="inlineStr">
        <is>
          <t>шт</t>
        </is>
      </c>
      <c r="G14" s="33" t="n">
        <v>1</v>
      </c>
      <c r="H14" s="34" t="n">
        <v>3000000</v>
      </c>
      <c r="I14" s="35" t="n">
        <v>3000000</v>
      </c>
      <c r="J14" s="11" t="inlineStr">
        <is>
          <t>в обшивке w3. Цена: таблица сантехники</t>
        </is>
      </c>
    </row>
    <row r="15" ht="32" customHeight="1">
      <c r="A15" s="5" t="n">
        <v>385</v>
      </c>
      <c r="B15" s="6" t="inlineStr">
        <is>
          <t>L4-SAN-006</t>
        </is>
      </c>
      <c r="C15" s="6" t="inlineStr">
        <is>
          <t>Сантехника</t>
        </is>
      </c>
      <c r="D15" s="6" t="inlineStr">
        <is>
          <t>Раковина (мойка бара)</t>
        </is>
      </c>
      <c r="E15" s="6" t="inlineStr">
        <is>
          <t>из исходной сметы</t>
        </is>
      </c>
      <c r="F15" s="5" t="inlineStr">
        <is>
          <t>шт</t>
        </is>
      </c>
      <c r="G15" s="30" t="n">
        <v>1</v>
      </c>
      <c r="H15" s="31" t="n">
        <v>900000</v>
      </c>
      <c r="I15" s="32" t="n">
        <v>900000</v>
      </c>
      <c r="J15" s="6" t="inlineStr">
        <is>
          <t>бар М1, 500×430. ⚠ Цена за «Кухонную раковину 450×450 под столешницу» — у нас 500×430, подтвердить модель</t>
        </is>
      </c>
    </row>
    <row r="16" ht="18" customHeight="1">
      <c r="A16" s="40" t="inlineStr">
        <is>
          <t>Итого · Сантехника</t>
        </is>
      </c>
      <c r="B16" s="41" t="n"/>
      <c r="C16" s="41" t="n"/>
      <c r="D16" s="41" t="n"/>
      <c r="E16" s="41" t="n"/>
      <c r="F16" s="41" t="n"/>
      <c r="G16" s="41" t="n"/>
      <c r="H16" s="41" t="n"/>
      <c r="I16" s="42">
        <f>SUM(I10:I15)</f>
        <v/>
      </c>
      <c r="J16" s="41" t="n"/>
    </row>
    <row r="17" ht="20" customHeight="1">
      <c r="A17" s="38" t="inlineStr">
        <is>
          <t>Электрика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</row>
    <row r="18" ht="32" customHeight="1">
      <c r="A18" s="10" t="n">
        <v>389</v>
      </c>
      <c r="B18" s="11" t="inlineStr">
        <is>
          <t>L4-ELE-001</t>
        </is>
      </c>
      <c r="C18" s="11" t="inlineStr">
        <is>
          <t>Электрика</t>
        </is>
      </c>
      <c r="D18" s="11" t="inlineStr">
        <is>
          <t>Розетка одноместная</t>
        </is>
      </c>
      <c r="E18" s="11" t="inlineStr">
        <is>
          <t>из исходной сметы</t>
        </is>
      </c>
      <c r="F18" s="10" t="inlineStr">
        <is>
          <t>шт</t>
        </is>
      </c>
      <c r="G18" s="33" t="n">
        <v>13</v>
      </c>
      <c r="H18" s="34" t="n">
        <v>20400</v>
      </c>
      <c r="I18" s="35" t="n">
        <v>265200</v>
      </c>
      <c r="J18" s="11" t="inlineStr">
        <is>
          <t>двойные УГО = 2 шт (прим. 18 л.9). Цена: DL 1209-1 п.1 / 1409-1 п.1</t>
        </is>
      </c>
    </row>
    <row r="19" ht="32" customHeight="1">
      <c r="A19" s="5" t="n">
        <v>390</v>
      </c>
      <c r="B19" s="6" t="inlineStr">
        <is>
          <t>L4-ELE-002</t>
        </is>
      </c>
      <c r="C19" s="6" t="inlineStr">
        <is>
          <t>Электрика</t>
        </is>
      </c>
      <c r="D19" s="6" t="inlineStr">
        <is>
          <t>Розетка влагозащищённая</t>
        </is>
      </c>
      <c r="E19" s="6" t="inlineStr">
        <is>
          <t>из исходной сметы</t>
        </is>
      </c>
      <c r="F19" s="5" t="inlineStr">
        <is>
          <t>шт</t>
        </is>
      </c>
      <c r="G19" s="30" t="n">
        <v>4</v>
      </c>
      <c r="H19" s="31" t="n">
        <v>27200</v>
      </c>
      <c r="I19" s="32" t="n">
        <v>108800</v>
      </c>
      <c r="J19" s="6" t="inlineStr">
        <is>
          <t>прим. 8 л.9. Цена: DL 1209-1 п.2 «розетка одинарная с крышкой»</t>
        </is>
      </c>
    </row>
    <row r="20" ht="18" customHeight="1">
      <c r="A20" s="10" t="n">
        <v>391</v>
      </c>
      <c r="B20" s="11" t="inlineStr">
        <is>
          <t>L4-ELE-003</t>
        </is>
      </c>
      <c r="C20" s="11" t="inlineStr">
        <is>
          <t>Электрика</t>
        </is>
      </c>
      <c r="D20" s="11" t="inlineStr">
        <is>
          <t>Выключатель одноклавишный</t>
        </is>
      </c>
      <c r="E20" s="11" t="inlineStr">
        <is>
          <t>из исходной сметы</t>
        </is>
      </c>
      <c r="F20" s="10" t="inlineStr">
        <is>
          <t>шт</t>
        </is>
      </c>
      <c r="G20" s="33" t="n">
        <v>2</v>
      </c>
      <c r="H20" s="34" t="n">
        <v>20400</v>
      </c>
      <c r="I20" s="35" t="n">
        <v>40800</v>
      </c>
      <c r="J20" s="11" t="inlineStr">
        <is>
          <t>Цена: DL 1209-1 п.6</t>
        </is>
      </c>
    </row>
    <row r="21" ht="18" customHeight="1">
      <c r="A21" s="5" t="n">
        <v>392</v>
      </c>
      <c r="B21" s="6" t="inlineStr">
        <is>
          <t>L4-ELE-004</t>
        </is>
      </c>
      <c r="C21" s="6" t="inlineStr">
        <is>
          <t>Электрика</t>
        </is>
      </c>
      <c r="D21" s="6" t="inlineStr">
        <is>
          <t>Выключатель двухклавишный</t>
        </is>
      </c>
      <c r="E21" s="6" t="inlineStr">
        <is>
          <t>из исходной сметы</t>
        </is>
      </c>
      <c r="F21" s="5" t="inlineStr">
        <is>
          <t>шт</t>
        </is>
      </c>
      <c r="G21" s="30" t="n">
        <v>4</v>
      </c>
      <c r="H21" s="31" t="n">
        <v>23100</v>
      </c>
      <c r="I21" s="32" t="n">
        <v>92400</v>
      </c>
      <c r="J21" s="6" t="inlineStr">
        <is>
          <t>Цена: DL 1209-1 п.7</t>
        </is>
      </c>
    </row>
    <row r="22" ht="18" customHeight="1">
      <c r="A22" s="40" t="inlineStr">
        <is>
          <t>Итого · Электрика</t>
        </is>
      </c>
      <c r="B22" s="41" t="n"/>
      <c r="C22" s="41" t="n"/>
      <c r="D22" s="41" t="n"/>
      <c r="E22" s="41" t="n"/>
      <c r="F22" s="41" t="n"/>
      <c r="G22" s="41" t="n"/>
      <c r="H22" s="41" t="n"/>
      <c r="I22" s="42">
        <f>SUM(I18:I21)</f>
        <v/>
      </c>
      <c r="J22" s="41" t="n"/>
    </row>
    <row r="23" ht="20" customHeight="1">
      <c r="A23" s="38" t="inlineStr">
        <is>
          <t>Освещение и LED</t>
        </is>
      </c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</row>
    <row r="24" ht="32" customHeight="1">
      <c r="A24" s="10" t="n">
        <v>398</v>
      </c>
      <c r="B24" s="11" t="inlineStr">
        <is>
          <t>L4-LGT-005</t>
        </is>
      </c>
      <c r="C24" s="11" t="inlineStr">
        <is>
          <t>Освещение и LED</t>
        </is>
      </c>
      <c r="D24" s="11" t="inlineStr">
        <is>
          <t>Спот трековый</t>
        </is>
      </c>
      <c r="E24" s="11" t="inlineStr">
        <is>
          <t>из исходной сметы</t>
        </is>
      </c>
      <c r="F24" s="10" t="inlineStr">
        <is>
          <t>шт</t>
        </is>
      </c>
      <c r="G24" s="33" t="n">
        <v>28</v>
      </c>
      <c r="H24" s="34" t="n">
        <v>177200</v>
      </c>
      <c r="I24" s="35" t="n">
        <v>4961600</v>
      </c>
      <c r="J24" s="11" t="inlineStr">
        <is>
          <t>по плану: 5 + 3 + 5 + 5×3 = 28. Цена: DL «спот поворотный 20 Вт» — магнитный, встанет только на магнитный трек DL</t>
        </is>
      </c>
    </row>
    <row r="25" ht="18" customHeight="1">
      <c r="A25" s="40" t="inlineStr">
        <is>
          <t>Итого · Освещение и LED</t>
        </is>
      </c>
      <c r="B25" s="41" t="n"/>
      <c r="C25" s="41" t="n"/>
      <c r="D25" s="41" t="n"/>
      <c r="E25" s="41" t="n"/>
      <c r="F25" s="41" t="n"/>
      <c r="G25" s="41" t="n"/>
      <c r="H25" s="41" t="n"/>
      <c r="I25" s="42">
        <f>SUM(I24:I24)</f>
        <v/>
      </c>
      <c r="J25" s="41" t="n"/>
    </row>
    <row r="26" ht="20" customHeight="1">
      <c r="A26" s="38" t="inlineStr">
        <is>
          <t>Отделка (стены, потолок, полы)</t>
        </is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</row>
    <row r="27" ht="32" customHeight="1">
      <c r="A27" s="5" t="n">
        <v>402</v>
      </c>
      <c r="B27" s="6" t="inlineStr">
        <is>
          <t>L4-FIN-001</t>
        </is>
      </c>
      <c r="C27" s="6" t="inlineStr">
        <is>
          <t>Отделка (стены, потолок, полы)</t>
        </is>
      </c>
      <c r="D27" s="6" t="inlineStr">
        <is>
          <t>Покраска белая RAL 9010</t>
        </is>
      </c>
      <c r="E27" s="6" t="inlineStr">
        <is>
          <t>из исходной сметы</t>
        </is>
      </c>
      <c r="F27" s="5" t="inlineStr">
        <is>
          <t>м²</t>
        </is>
      </c>
      <c r="G27" s="30" t="n">
        <v>112.8</v>
      </c>
      <c r="H27" s="31" t="n">
        <v>29400</v>
      </c>
      <c r="I27" s="32" t="n">
        <v>3316320</v>
      </c>
      <c r="J27" s="6" t="inlineStr">
        <is>
          <t>зависит от решения по сэндвич-панелям (вопрос №3)</t>
        </is>
      </c>
    </row>
    <row r="28" ht="18" customHeight="1">
      <c r="A28" s="10" t="n">
        <v>403</v>
      </c>
      <c r="B28" s="11" t="inlineStr">
        <is>
          <t>L4-FIN-002</t>
        </is>
      </c>
      <c r="C28" s="11" t="inlineStr">
        <is>
          <t>Отделка (стены, потолок, полы)</t>
        </is>
      </c>
      <c r="D28" s="11" t="inlineStr">
        <is>
          <t>Панель МДФ под дерево</t>
        </is>
      </c>
      <c r="E28" s="11" t="inlineStr">
        <is>
          <t>из исходной сметы</t>
        </is>
      </c>
      <c r="F28" s="10" t="inlineStr">
        <is>
          <t>м²</t>
        </is>
      </c>
      <c r="G28" s="33" t="n">
        <v>9</v>
      </c>
      <c r="H28" s="34" t="n">
        <v>350000</v>
      </c>
      <c r="I28" s="35" t="n">
        <v>3150000</v>
      </c>
      <c r="J28" s="11" t="inlineStr">
        <is>
          <t>стена у зоны лестницы (развертка 2.1)</t>
        </is>
      </c>
    </row>
    <row r="29" ht="18" customHeight="1">
      <c r="A29" s="5" t="n">
        <v>405</v>
      </c>
      <c r="B29" s="6" t="inlineStr">
        <is>
          <t>L4-FIN-004</t>
        </is>
      </c>
      <c r="C29" s="6" t="inlineStr">
        <is>
          <t>Отделка (стены, потолок, полы)</t>
        </is>
      </c>
      <c r="D29" s="6" t="inlineStr">
        <is>
          <t>Керамогранит 1200×600</t>
        </is>
      </c>
      <c r="E29" s="6" t="inlineStr">
        <is>
          <t>из исходной сметы</t>
        </is>
      </c>
      <c r="F29" s="5" t="inlineStr">
        <is>
          <t>м²</t>
        </is>
      </c>
      <c r="G29" s="30" t="n">
        <v>22.6</v>
      </c>
      <c r="H29" s="31" t="n">
        <v>395000</v>
      </c>
      <c r="I29" s="32" t="n">
        <v>8927000</v>
      </c>
      <c r="J29" s="6" t="inlineStr">
        <is>
          <t>санузел; ≈ периметр 8,2 м × 3 м − дверь</t>
        </is>
      </c>
    </row>
    <row r="30" ht="32" customHeight="1">
      <c r="A30" s="10" t="n">
        <v>406</v>
      </c>
      <c r="B30" s="11" t="inlineStr">
        <is>
          <t>L4-FIN-005</t>
        </is>
      </c>
      <c r="C30" s="11" t="inlineStr">
        <is>
          <t>Отделка (стены, потолок, полы)</t>
        </is>
      </c>
      <c r="D30" s="11" t="inlineStr">
        <is>
          <t>Плитка 260×80</t>
        </is>
      </c>
      <c r="E30" s="11" t="inlineStr">
        <is>
          <t>из исходной сметы</t>
        </is>
      </c>
      <c r="F30" s="10" t="inlineStr">
        <is>
          <t>м²</t>
        </is>
      </c>
      <c r="G30" s="33" t="n">
        <v>13.9</v>
      </c>
      <c r="H30" s="34" t="n">
        <v>390000</v>
      </c>
      <c r="I30" s="35" t="n">
        <v>5421000</v>
      </c>
      <c r="J30" s="11" t="inlineStr">
        <is>
          <t>фартук барбекю/казана (развертки 2.1, 5.1)</t>
        </is>
      </c>
    </row>
    <row r="31" ht="18" customHeight="1">
      <c r="A31" s="5" t="n">
        <v>407</v>
      </c>
      <c r="B31" s="6" t="inlineStr">
        <is>
          <t>L4-FIN-006</t>
        </is>
      </c>
      <c r="C31" s="6" t="inlineStr">
        <is>
          <t>Отделка (стены, потолок, полы)</t>
        </is>
      </c>
      <c r="D31" s="6" t="inlineStr">
        <is>
          <t>Металлическая панель</t>
        </is>
      </c>
      <c r="E31" s="6" t="inlineStr">
        <is>
          <t>из исходной сметы</t>
        </is>
      </c>
      <c r="F31" s="5" t="inlineStr">
        <is>
          <t>м²</t>
        </is>
      </c>
      <c r="G31" s="30" t="n">
        <v>7.7</v>
      </c>
      <c r="H31" s="31" t="n">
        <v>395000</v>
      </c>
      <c r="I31" s="32" t="n">
        <v>3041500</v>
      </c>
      <c r="J31" s="6" t="inlineStr">
        <is>
          <t>зона лестницы</t>
        </is>
      </c>
    </row>
    <row r="32" ht="18" customHeight="1">
      <c r="A32" s="10" t="n">
        <v>412</v>
      </c>
      <c r="B32" s="11" t="inlineStr">
        <is>
          <t>L4-FIN-011</t>
        </is>
      </c>
      <c r="C32" s="11" t="inlineStr">
        <is>
          <t>Отделка (стены, потолок, полы)</t>
        </is>
      </c>
      <c r="D32" s="11" t="inlineStr">
        <is>
          <t>Керамогранит 1200×600</t>
        </is>
      </c>
      <c r="E32" s="11" t="inlineStr">
        <is>
          <t>из исходной сметы</t>
        </is>
      </c>
      <c r="F32" s="10" t="inlineStr">
        <is>
          <t>м²</t>
        </is>
      </c>
      <c r="G32" s="33" t="n">
        <v>3.9</v>
      </c>
      <c r="H32" s="34" t="n">
        <v>395000</v>
      </c>
      <c r="I32" s="35" t="n">
        <v>1540500</v>
      </c>
      <c r="J32" s="11" t="inlineStr">
        <is>
          <t>санузел 4,14 минус стены</t>
        </is>
      </c>
    </row>
    <row r="33" ht="18" customHeight="1">
      <c r="A33" s="40" t="inlineStr">
        <is>
          <t>Итого · Отделка (стены, потолок, полы)</t>
        </is>
      </c>
      <c r="B33" s="41" t="n"/>
      <c r="C33" s="41" t="n"/>
      <c r="D33" s="41" t="n"/>
      <c r="E33" s="41" t="n"/>
      <c r="F33" s="41" t="n"/>
      <c r="G33" s="41" t="n"/>
      <c r="H33" s="41" t="n"/>
      <c r="I33" s="42">
        <f>SUM(I27:I32)</f>
        <v/>
      </c>
      <c r="J33" s="41" t="n"/>
    </row>
    <row r="35" ht="24" customHeight="1">
      <c r="A35" s="15" t="inlineStr">
        <is>
          <t>ИТОГО точные  ·  18 поз.</t>
        </is>
      </c>
      <c r="B35" s="37" t="n"/>
      <c r="C35" s="37" t="n"/>
      <c r="D35" s="37" t="n"/>
      <c r="E35" s="37" t="n"/>
      <c r="F35" s="37" t="n"/>
      <c r="G35" s="37" t="n"/>
      <c r="H35" s="37" t="n"/>
      <c r="I35" s="18">
        <f>I8+I16+I22+I25+I33</f>
        <v/>
      </c>
      <c r="J35" s="37" t="n"/>
    </row>
  </sheetData>
  <mergeCells count="14">
    <mergeCell ref="A1:J1"/>
    <mergeCell ref="A23:J23"/>
    <mergeCell ref="A35:H35"/>
    <mergeCell ref="A6:J6"/>
    <mergeCell ref="A25:H25"/>
    <mergeCell ref="A17:J17"/>
    <mergeCell ref="A9:J9"/>
    <mergeCell ref="A16:H16"/>
    <mergeCell ref="A3:J3"/>
    <mergeCell ref="A33:H33"/>
    <mergeCell ref="A26:J26"/>
    <mergeCell ref="A2:J2"/>
    <mergeCell ref="A8:H8"/>
    <mergeCell ref="A22:H22"/>
  </mergeCells>
  <pageMargins left="0.4" right="0.4" top="0.5" bottom="0.5" header="0.2" footer="0.2"/>
  <pageSetup orientation="landscape" paperSize="9" fitToHeight="0" fitToWidth="1"/>
  <headerFooter>
    <oddHeader>&amp;LTemiroff Edifice · точные цены&amp;CТочные цены</oddHeader>
    <oddFooter>&amp;RСрез сметы 04.10.2026  |  стр.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10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4" customHeight="1">
      <c r="A1" s="27" t="inlineStr">
        <is>
          <t>Точные цены · не этаж</t>
        </is>
      </c>
    </row>
    <row r="2" ht="18" customHeight="1">
      <c r="A2" s="28" t="inlineStr">
        <is>
          <t>Здание · фасад · остекление Imzo</t>
        </is>
      </c>
    </row>
    <row r="3" ht="32" customHeight="1">
      <c r="A3" s="29" t="inlineStr">
        <is>
          <t>Вне суммы этажей. На сайте в exactSum этажей не входит. Остальные позиции фасада без цены (фибробетон, цоколь, лестницы) сюда не включены.</t>
        </is>
      </c>
    </row>
    <row r="4" ht="8" customHeight="1"/>
    <row r="5" ht="22" customHeight="1">
      <c r="A5" s="4" t="inlineStr">
        <is>
          <t>№</t>
        </is>
      </c>
      <c r="B5" s="4" t="inlineStr">
        <is>
          <t>Код</t>
        </is>
      </c>
      <c r="C5" s="4" t="inlineStr">
        <is>
          <t>Раздел</t>
        </is>
      </c>
      <c r="D5" s="4" t="inlineStr">
        <is>
          <t>Наименование</t>
        </is>
      </c>
      <c r="E5" s="4" t="inlineStr">
        <is>
          <t>Спецификация</t>
        </is>
      </c>
      <c r="F5" s="4" t="inlineStr">
        <is>
          <t>Ед.</t>
        </is>
      </c>
      <c r="G5" s="4" t="inlineStr">
        <is>
          <t>Кол-во</t>
        </is>
      </c>
      <c r="H5" s="4" t="inlineStr">
        <is>
          <t>Цена, сум</t>
        </is>
      </c>
      <c r="I5" s="4" t="inlineStr">
        <is>
          <t>Сумма, сум</t>
        </is>
      </c>
      <c r="J5" s="4" t="inlineStr">
        <is>
          <t>Примечание</t>
        </is>
      </c>
    </row>
    <row r="6" ht="20" customHeight="1">
      <c r="A6" s="38" t="inlineStr">
        <is>
          <t>Остекление Imzo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</row>
    <row r="7" ht="18" customHeight="1">
      <c r="A7" s="5" t="n">
        <v>3</v>
      </c>
      <c r="B7" s="6" t="inlineStr">
        <is>
          <t>facade-imzo-01</t>
        </is>
      </c>
      <c r="C7" s="6" t="inlineStr">
        <is>
          <t>Остекление Imzo</t>
        </is>
      </c>
      <c r="D7" s="6" t="inlineStr">
        <is>
          <t>Фасадное (витражное) остекление здания</t>
        </is>
      </c>
      <c r="E7" s="6" t="inlineStr">
        <is>
          <t>Imzo, вариант 2</t>
        </is>
      </c>
      <c r="F7" s="5" t="inlineStr">
        <is>
          <t>компл.</t>
        </is>
      </c>
      <c r="G7" s="30" t="n">
        <v>1</v>
      </c>
      <c r="H7" s="43" t="n"/>
      <c r="I7" s="32" t="n">
        <v>156000000</v>
      </c>
      <c r="J7" s="6" t="n"/>
    </row>
    <row r="8" ht="18" customHeight="1">
      <c r="A8" s="40" t="inlineStr">
        <is>
          <t>Итого · Остекление Imzo</t>
        </is>
      </c>
      <c r="B8" s="41" t="n"/>
      <c r="C8" s="41" t="n"/>
      <c r="D8" s="41" t="n"/>
      <c r="E8" s="41" t="n"/>
      <c r="F8" s="41" t="n"/>
      <c r="G8" s="41" t="n"/>
      <c r="H8" s="41" t="n"/>
      <c r="I8" s="42">
        <f>SUM(I7:I7)</f>
        <v/>
      </c>
      <c r="J8" s="41" t="n"/>
    </row>
    <row r="10" ht="24" customHeight="1">
      <c r="A10" s="15" t="inlineStr">
        <is>
          <t>ИТОГО точные  ·  1 поз.</t>
        </is>
      </c>
      <c r="B10" s="37" t="n"/>
      <c r="C10" s="37" t="n"/>
      <c r="D10" s="37" t="n"/>
      <c r="E10" s="37" t="n"/>
      <c r="F10" s="37" t="n"/>
      <c r="G10" s="37" t="n"/>
      <c r="H10" s="37" t="n"/>
      <c r="I10" s="18">
        <f>I8</f>
        <v/>
      </c>
      <c r="J10" s="37" t="n"/>
    </row>
  </sheetData>
  <mergeCells count="6">
    <mergeCell ref="A1:J1"/>
    <mergeCell ref="A6:J6"/>
    <mergeCell ref="A3:J3"/>
    <mergeCell ref="A10:H10"/>
    <mergeCell ref="A2:J2"/>
    <mergeCell ref="A8:H8"/>
  </mergeCells>
  <pageMargins left="0.4" right="0.4" top="0.5" bottom="0.5" header="0.2" footer="0.2"/>
  <pageSetup orientation="landscape" paperSize="9" fitToHeight="0" fitToWidth="1"/>
  <headerFooter>
    <oddHeader>&amp;LTemiroff Edifice · точные цены&amp;CТочные цены · не этаж</oddHeader>
    <oddFooter>&amp;RСрез сметы 04.10.2026  |  стр.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36" customWidth="1" min="5" max="5"/>
    <col width="10" customWidth="1" min="6" max="6"/>
    <col width="12" customWidth="1" min="7" max="7"/>
    <col width="16" customWidth="1" min="8" max="8"/>
    <col width="18" customWidth="1" min="9" max="9"/>
    <col width="42" customWidth="1" min="10" max="10"/>
  </cols>
  <sheetData>
    <row r="1" ht="24" customHeight="1">
      <c r="A1" s="27" t="inlineStr">
        <is>
          <t>Точные цены · не этаж</t>
        </is>
      </c>
    </row>
    <row r="2" ht="18" customHeight="1">
      <c r="A2" s="28" t="inlineStr">
        <is>
          <t>Лифт ASERA · остановки 1–4, на −1 остановки нет</t>
        </is>
      </c>
    </row>
    <row r="3" ht="32" customHeight="1">
      <c r="A3" s="29" t="inlineStr">
        <is>
          <t>Вне суммы этажей. Только позиции с точной ценой: КП кабины и ведомость металлокаркаса. Примерные позиции лифта не включены. Остановки 1, 2, 3 и 4 этаж. На фитнесе (−1) остановки нет. КП оборудования оплачен. Чертеж шахты 26.09: в свету 1850×2100, по стойкам 2090×2340. Металл каркаса — ведомость ASERA, 119,42 млн, ещё не заявка.</t>
        </is>
      </c>
    </row>
    <row r="4" ht="8" customHeight="1"/>
    <row r="5" ht="22" customHeight="1">
      <c r="A5" s="4" t="inlineStr">
        <is>
          <t>№</t>
        </is>
      </c>
      <c r="B5" s="4" t="inlineStr">
        <is>
          <t>Код</t>
        </is>
      </c>
      <c r="C5" s="4" t="inlineStr">
        <is>
          <t>Раздел</t>
        </is>
      </c>
      <c r="D5" s="4" t="inlineStr">
        <is>
          <t>Наименование</t>
        </is>
      </c>
      <c r="E5" s="4" t="inlineStr">
        <is>
          <t>Спецификация</t>
        </is>
      </c>
      <c r="F5" s="4" t="inlineStr">
        <is>
          <t>Ед.</t>
        </is>
      </c>
      <c r="G5" s="4" t="inlineStr">
        <is>
          <t>Кол-во</t>
        </is>
      </c>
      <c r="H5" s="4" t="inlineStr">
        <is>
          <t>Цена, сум</t>
        </is>
      </c>
      <c r="I5" s="4" t="inlineStr">
        <is>
          <t>Сумма, сум</t>
        </is>
      </c>
      <c r="J5" s="4" t="inlineStr">
        <is>
          <t>Примечание</t>
        </is>
      </c>
    </row>
    <row r="6" ht="20" customHeight="1">
      <c r="A6" s="38" t="inlineStr">
        <is>
          <t>Коммерция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</row>
    <row r="7" ht="32" customHeight="1">
      <c r="A7" s="5" t="n">
        <v>1</v>
      </c>
      <c r="B7" s="6" t="inlineStr">
        <is>
          <t>lift-cab-kp</t>
        </is>
      </c>
      <c r="C7" s="6" t="inlineStr">
        <is>
          <t>Коммерция</t>
        </is>
      </c>
      <c r="D7" s="6" t="inlineStr">
        <is>
          <t>Кабина ASERA с НДС (КП)</t>
        </is>
      </c>
      <c r="E7" s="6" t="n"/>
      <c r="F7" s="5" t="inlineStr">
        <is>
          <t>компл.</t>
        </is>
      </c>
      <c r="G7" s="30" t="n">
        <v>1</v>
      </c>
      <c r="H7" s="43" t="n"/>
      <c r="I7" s="32" t="n">
        <v>262690000</v>
      </c>
      <c r="J7" s="6" t="inlineStr">
        <is>
          <t>Оплачено по КП. Остановки 1–2–3–4, без −1.</t>
        </is>
      </c>
    </row>
    <row r="8" ht="18" customHeight="1">
      <c r="A8" s="10" t="n">
        <v>2</v>
      </c>
      <c r="B8" s="11" t="inlineStr">
        <is>
          <t>lift-shaft-kp</t>
        </is>
      </c>
      <c r="C8" s="11" t="inlineStr">
        <is>
          <t>Коммерция</t>
        </is>
      </c>
      <c r="D8" s="11" t="inlineStr">
        <is>
          <t>Монтаж металлошахты</t>
        </is>
      </c>
      <c r="E8" s="11" t="n"/>
      <c r="F8" s="10" t="inlineStr">
        <is>
          <t>компл.</t>
        </is>
      </c>
      <c r="G8" s="33" t="n">
        <v>1</v>
      </c>
      <c r="H8" s="44" t="n"/>
      <c r="I8" s="35" t="n">
        <v>52200000</v>
      </c>
      <c r="J8" s="11" t="inlineStr">
        <is>
          <t>Оплачено по КП. Монтаж металлошахты.</t>
        </is>
      </c>
    </row>
    <row r="9" ht="18" customHeight="1">
      <c r="A9" s="5" t="n">
        <v>3</v>
      </c>
      <c r="B9" s="6" t="inlineStr">
        <is>
          <t>lift-install-kp</t>
        </is>
      </c>
      <c r="C9" s="6" t="inlineStr">
        <is>
          <t>Коммерция</t>
        </is>
      </c>
      <c r="D9" s="6" t="inlineStr">
        <is>
          <t>Монтаж + пусконаладка</t>
        </is>
      </c>
      <c r="E9" s="6" t="n"/>
      <c r="F9" s="5" t="inlineStr">
        <is>
          <t>компл.</t>
        </is>
      </c>
      <c r="G9" s="30" t="n">
        <v>1</v>
      </c>
      <c r="H9" s="43" t="n"/>
      <c r="I9" s="32" t="n">
        <v>48600000</v>
      </c>
      <c r="J9" s="6" t="inlineStr">
        <is>
          <t>Оплачено по КП. Монтаж + пусконаладка.</t>
        </is>
      </c>
    </row>
    <row r="10" ht="18" customHeight="1">
      <c r="A10" s="10" t="n">
        <v>4</v>
      </c>
      <c r="B10" s="11" t="inlineStr">
        <is>
          <t>lift-cable-01</t>
        </is>
      </c>
      <c r="C10" s="11" t="inlineStr">
        <is>
          <t>Коммерция</t>
        </is>
      </c>
      <c r="D10" s="11" t="inlineStr">
        <is>
          <t>Заземление и кабели для лифта (СМР)</t>
        </is>
      </c>
      <c r="E10" s="11" t="n"/>
      <c r="F10" s="10" t="inlineStr">
        <is>
          <t>компл.</t>
        </is>
      </c>
      <c r="G10" s="33" t="n">
        <v>1</v>
      </c>
      <c r="H10" s="44" t="n"/>
      <c r="I10" s="35" t="n">
        <v>5475000</v>
      </c>
      <c r="J10" s="11" t="inlineStr">
        <is>
          <t>Заявка 2026-0198, оплачена.</t>
        </is>
      </c>
    </row>
    <row r="11" ht="18" customHeight="1">
      <c r="A11" s="40" t="inlineStr">
        <is>
          <t>Итого · Коммерция</t>
        </is>
      </c>
      <c r="B11" s="41" t="n"/>
      <c r="C11" s="41" t="n"/>
      <c r="D11" s="41" t="n"/>
      <c r="E11" s="41" t="n"/>
      <c r="F11" s="41" t="n"/>
      <c r="G11" s="41" t="n"/>
      <c r="H11" s="41" t="n"/>
      <c r="I11" s="42">
        <f>SUM(I7:I10)</f>
        <v/>
      </c>
      <c r="J11" s="41" t="n"/>
    </row>
    <row r="12" ht="20" customHeight="1">
      <c r="A12" s="38" t="inlineStr">
        <is>
          <t>Металлокаркас шахты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</row>
    <row r="13" ht="32" customHeight="1">
      <c r="A13" s="5" t="n">
        <v>1</v>
      </c>
      <c r="B13" s="6" t="inlineStr">
        <is>
          <t>П-1</t>
        </is>
      </c>
      <c r="C13" s="6" t="inlineStr">
        <is>
          <t>Металлокаркас шахты</t>
        </is>
      </c>
      <c r="D13" s="6" t="inlineStr">
        <is>
          <t>Труба 120×120×6, Ст3, ГОСТ 30245-03</t>
        </is>
      </c>
      <c r="E13" s="6" t="inlineStr">
        <is>
          <t>сталь 380-2005</t>
        </is>
      </c>
      <c r="F13" s="5" t="inlineStr">
        <is>
          <t>м</t>
        </is>
      </c>
      <c r="G13" s="30" t="n">
        <v>108</v>
      </c>
      <c r="H13" s="31" t="n">
        <v>340000</v>
      </c>
      <c r="I13" s="32" t="n">
        <v>36720000</v>
      </c>
      <c r="J13" s="6" t="inlineStr">
        <is>
          <t>Ведомость ASERA, 26.09. 108 м × 340 000. Ещё не заявка.</t>
        </is>
      </c>
    </row>
    <row r="14" ht="18" customHeight="1">
      <c r="A14" s="10" t="n">
        <v>2</v>
      </c>
      <c r="B14" s="11" t="inlineStr">
        <is>
          <t>П-2</t>
        </is>
      </c>
      <c r="C14" s="11" t="inlineStr">
        <is>
          <t>Металлокаркас шахты</t>
        </is>
      </c>
      <c r="D14" s="11" t="inlineStr">
        <is>
          <t>Труба 120×120×4, Ст3, ГОСТ 30245-03</t>
        </is>
      </c>
      <c r="E14" s="11" t="inlineStr">
        <is>
          <t>сталь 380-2005</t>
        </is>
      </c>
      <c r="F14" s="10" t="inlineStr">
        <is>
          <t>м</t>
        </is>
      </c>
      <c r="G14" s="33" t="n">
        <v>120</v>
      </c>
      <c r="H14" s="34" t="n">
        <v>290000</v>
      </c>
      <c r="I14" s="35" t="n">
        <v>34800000</v>
      </c>
      <c r="J14" s="11" t="inlineStr">
        <is>
          <t>120 м × 290 000.</t>
        </is>
      </c>
    </row>
    <row r="15" ht="18" customHeight="1">
      <c r="A15" s="5" t="n">
        <v>3</v>
      </c>
      <c r="B15" s="6" t="inlineStr">
        <is>
          <t>П-3</t>
        </is>
      </c>
      <c r="C15" s="6" t="inlineStr">
        <is>
          <t>Металлокаркас шахты</t>
        </is>
      </c>
      <c r="D15" s="6" t="inlineStr">
        <is>
          <t>Труба 80×80×4, Ст3, ГОСТ 30245-03</t>
        </is>
      </c>
      <c r="E15" s="6" t="inlineStr">
        <is>
          <t>сталь 380-2005</t>
        </is>
      </c>
      <c r="F15" s="5" t="inlineStr">
        <is>
          <t>м</t>
        </is>
      </c>
      <c r="G15" s="30" t="n">
        <v>60</v>
      </c>
      <c r="H15" s="31" t="n">
        <v>250000</v>
      </c>
      <c r="I15" s="32" t="n">
        <v>15000000</v>
      </c>
      <c r="J15" s="6" t="inlineStr">
        <is>
          <t>60 м × 250 000. Связи.</t>
        </is>
      </c>
    </row>
    <row r="16" ht="18" customHeight="1">
      <c r="A16" s="10" t="n">
        <v>4</v>
      </c>
      <c r="B16" s="11" t="inlineStr">
        <is>
          <t>Доставка</t>
        </is>
      </c>
      <c r="C16" s="11" t="inlineStr">
        <is>
          <t>Металлокаркас шахты</t>
        </is>
      </c>
      <c r="D16" s="11" t="inlineStr">
        <is>
          <t>Доставка профиля</t>
        </is>
      </c>
      <c r="E16" s="11" t="n"/>
      <c r="F16" s="10" t="inlineStr">
        <is>
          <t>компл.</t>
        </is>
      </c>
      <c r="G16" s="33" t="n">
        <v>1</v>
      </c>
      <c r="H16" s="44" t="n"/>
      <c r="I16" s="35" t="n">
        <v>8000000</v>
      </c>
      <c r="J16" s="11" t="inlineStr">
        <is>
          <t>Строка ведомости.</t>
        </is>
      </c>
    </row>
    <row r="17" ht="32" customHeight="1">
      <c r="A17" s="5" t="n">
        <v>5</v>
      </c>
      <c r="B17" s="6" t="inlineStr">
        <is>
          <t>ЗД-1</t>
        </is>
      </c>
      <c r="C17" s="6" t="inlineStr">
        <is>
          <t>Металлокаркас шахты</t>
        </is>
      </c>
      <c r="D17" s="6" t="inlineStr">
        <is>
          <t>Закладная 300×300×20, отверстие Ø22</t>
        </is>
      </c>
      <c r="E17" s="6" t="inlineStr">
        <is>
          <t>лист Ст3пс, ГОСТ 19903-2015</t>
        </is>
      </c>
      <c r="F17" s="5" t="inlineStr">
        <is>
          <t>шт</t>
        </is>
      </c>
      <c r="G17" s="30" t="n">
        <v>4</v>
      </c>
      <c r="H17" s="43" t="n"/>
      <c r="I17" s="32" t="n">
        <v>3500000</v>
      </c>
      <c r="J17" s="6" t="inlineStr">
        <is>
          <t>База стоек. Анкер M20 Hilti, деталь А на чертеже.</t>
        </is>
      </c>
    </row>
    <row r="18" ht="18" customHeight="1">
      <c r="A18" s="10" t="n">
        <v>6</v>
      </c>
      <c r="B18" s="11" t="inlineStr">
        <is>
          <t>ЗД-1</t>
        </is>
      </c>
      <c r="C18" s="11" t="inlineStr">
        <is>
          <t>Металлокаркас шахты</t>
        </is>
      </c>
      <c r="D18" s="11" t="inlineStr">
        <is>
          <t>Пластина крепления t=10</t>
        </is>
      </c>
      <c r="E18" s="11" t="inlineStr">
        <is>
          <t>лист Ст3пс, средний типоразмер ведомости</t>
        </is>
      </c>
      <c r="F18" s="10" t="inlineStr">
        <is>
          <t>шт</t>
        </is>
      </c>
      <c r="G18" s="33" t="n">
        <v>16</v>
      </c>
      <c r="H18" s="44" t="n"/>
      <c r="I18" s="35" t="n">
        <v>2500000</v>
      </c>
      <c r="J18" s="11" t="inlineStr">
        <is>
          <t>16 шт по ведомости.</t>
        </is>
      </c>
    </row>
    <row r="19" ht="18" customHeight="1">
      <c r="A19" s="5" t="n">
        <v>7</v>
      </c>
      <c r="B19" s="6" t="inlineStr">
        <is>
          <t>ЗД-2</t>
        </is>
      </c>
      <c r="C19" s="6" t="inlineStr">
        <is>
          <t>Металлокаркас шахты</t>
        </is>
      </c>
      <c r="D19" s="6" t="inlineStr">
        <is>
          <t>Пластина 300×200×10, отверстие Ø18</t>
        </is>
      </c>
      <c r="E19" s="6" t="inlineStr">
        <is>
          <t>лист Ст3пс, ГОСТ 19903-2015</t>
        </is>
      </c>
      <c r="F19" s="5" t="inlineStr">
        <is>
          <t>шт</t>
        </is>
      </c>
      <c r="G19" s="30" t="n">
        <v>8</v>
      </c>
      <c r="H19" s="43" t="n"/>
      <c r="I19" s="32" t="n">
        <v>2500000</v>
      </c>
      <c r="J19" s="6" t="inlineStr">
        <is>
          <t>8 шт по ведомости.</t>
        </is>
      </c>
    </row>
    <row r="20" ht="18" customHeight="1">
      <c r="A20" s="10" t="n">
        <v>8</v>
      </c>
      <c r="B20" s="11" t="inlineStr">
        <is>
          <t>Анкер</t>
        </is>
      </c>
      <c r="C20" s="11" t="inlineStr">
        <is>
          <t>Металлокаркас шахты</t>
        </is>
      </c>
      <c r="D20" s="11" t="inlineStr">
        <is>
          <t>Анкер M20 Hilti</t>
        </is>
      </c>
      <c r="E20" s="11" t="inlineStr">
        <is>
          <t>под закладную базы</t>
        </is>
      </c>
      <c r="F20" s="10" t="inlineStr">
        <is>
          <t>шт</t>
        </is>
      </c>
      <c r="G20" s="33" t="n">
        <v>16</v>
      </c>
      <c r="H20" s="44" t="n"/>
      <c r="I20" s="35" t="n">
        <v>5900000</v>
      </c>
      <c r="J20" s="11" t="inlineStr">
        <is>
          <t>16 шт.</t>
        </is>
      </c>
    </row>
    <row r="21" ht="18" customHeight="1">
      <c r="A21" s="5" t="n">
        <v>9</v>
      </c>
      <c r="B21" s="6" t="inlineStr">
        <is>
          <t>Анкер</t>
        </is>
      </c>
      <c r="C21" s="6" t="inlineStr">
        <is>
          <t>Металлокаркас шахты</t>
        </is>
      </c>
      <c r="D21" s="6" t="inlineStr">
        <is>
          <t>Анкер M16 Hilti</t>
        </is>
      </c>
      <c r="E21" s="6" t="n"/>
      <c r="F21" s="5" t="inlineStr">
        <is>
          <t>шт</t>
        </is>
      </c>
      <c r="G21" s="30" t="n">
        <v>32</v>
      </c>
      <c r="H21" s="43" t="n"/>
      <c r="I21" s="32" t="n">
        <v>3000000</v>
      </c>
      <c r="J21" s="6" t="inlineStr">
        <is>
          <t>32 шт.</t>
        </is>
      </c>
    </row>
    <row r="22" ht="32" customHeight="1">
      <c r="A22" s="10" t="n">
        <v>10</v>
      </c>
      <c r="B22" s="11" t="inlineStr">
        <is>
          <t>Расход</t>
        </is>
      </c>
      <c r="C22" s="11" t="inlineStr">
        <is>
          <t>Металлокаркас шахты</t>
        </is>
      </c>
      <c r="D22" s="11" t="inlineStr">
        <is>
          <t>Расходники сварки и окраски</t>
        </is>
      </c>
      <c r="E22" s="11" t="inlineStr">
        <is>
          <t>УОНИ 13/55, диски, грунт, буры</t>
        </is>
      </c>
      <c r="F22" s="10" t="inlineStr">
        <is>
          <t>компл.</t>
        </is>
      </c>
      <c r="G22" s="33" t="n">
        <v>1</v>
      </c>
      <c r="H22" s="44" t="n"/>
      <c r="I22" s="35" t="n">
        <v>7500000</v>
      </c>
      <c r="J22" s="11" t="inlineStr">
        <is>
          <t>Электрод УОНИ 13/55 — 17 пачек; диски ЭПА 180 — 80 шт; перчатки 2; грунт 30 кг; разбавитель 15 л; валики 3+3; бур M20 и M16 по 1.</t>
        </is>
      </c>
    </row>
    <row r="23" ht="32" customHeight="1">
      <c r="A23" s="5" t="n">
        <v>11</v>
      </c>
      <c r="B23" s="6" t="inlineStr">
        <is>
          <t>Монтаж</t>
        </is>
      </c>
      <c r="C23" s="6" t="inlineStr">
        <is>
          <t>Металлокаркас шахты</t>
        </is>
      </c>
      <c r="D23" s="6" t="inlineStr">
        <is>
          <t>Монтаж металлоконструкций по ведомости</t>
        </is>
      </c>
      <c r="E23" s="6" t="inlineStr">
        <is>
          <t>не путать с оплаченным КП</t>
        </is>
      </c>
      <c r="F23" s="5" t="inlineStr">
        <is>
          <t>компл.</t>
        </is>
      </c>
      <c r="G23" s="30" t="n">
        <v>1</v>
      </c>
      <c r="H23" s="43" t="n"/>
      <c r="I23" s="32" t="n">
        <v>45000000</v>
      </c>
      <c r="J23" s="6" t="inlineStr">
        <is>
          <t>45 млн в ведомости. В КП монтаж шахты уже 52,2 млн и он оплачен. Пока обе строки на месте: 45 не в «оплатить» и не в оплаченном. Скажи, если это одна работа — уберу двойной счёт.</t>
        </is>
      </c>
    </row>
    <row r="24" ht="18" customHeight="1">
      <c r="A24" s="40" t="inlineStr">
        <is>
          <t>Итого · Металлокаркас шахты</t>
        </is>
      </c>
      <c r="B24" s="41" t="n"/>
      <c r="C24" s="41" t="n"/>
      <c r="D24" s="41" t="n"/>
      <c r="E24" s="41" t="n"/>
      <c r="F24" s="41" t="n"/>
      <c r="G24" s="41" t="n"/>
      <c r="H24" s="41" t="n"/>
      <c r="I24" s="42">
        <f>SUM(I13:I23)</f>
        <v/>
      </c>
      <c r="J24" s="41" t="n"/>
    </row>
    <row r="26" ht="24" customHeight="1">
      <c r="A26" s="15" t="inlineStr">
        <is>
          <t>ИТОГО точные  ·  15 поз.</t>
        </is>
      </c>
      <c r="B26" s="37" t="n"/>
      <c r="C26" s="37" t="n"/>
      <c r="D26" s="37" t="n"/>
      <c r="E26" s="37" t="n"/>
      <c r="F26" s="37" t="n"/>
      <c r="G26" s="37" t="n"/>
      <c r="H26" s="37" t="n"/>
      <c r="I26" s="18">
        <f>I11+I24</f>
        <v/>
      </c>
      <c r="J26" s="37" t="n"/>
    </row>
  </sheetData>
  <mergeCells count="8">
    <mergeCell ref="A1:J1"/>
    <mergeCell ref="A26:H26"/>
    <mergeCell ref="A6:J6"/>
    <mergeCell ref="A24:H24"/>
    <mergeCell ref="A3:J3"/>
    <mergeCell ref="A12:J12"/>
    <mergeCell ref="A11:H11"/>
    <mergeCell ref="A2:J2"/>
  </mergeCells>
  <pageMargins left="0.4" right="0.4" top="0.5" bottom="0.5" header="0.2" footer="0.2"/>
  <pageSetup orientation="landscape" paperSize="9" fitToHeight="0" fitToWidth="1"/>
  <headerFooter>
    <oddHeader>&amp;LTemiroff Edifice · точные цены&amp;CТочные цены · не этаж</oddHeader>
    <oddFooter>&amp;RСрез сметы 04.10.2026  |  стр.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2026-10-14T10:37:49Z</dcterms:created>
  <dcterms:modified xsi:type="dcterms:W3CDTF">2026-10-14T10:37:49Z</dcterms:modified>
</cp:coreProperties>
</file>